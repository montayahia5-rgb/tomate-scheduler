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set\Desktop\Tomate_scheduler\"/>
    </mc:Choice>
  </mc:AlternateContent>
  <xr:revisionPtr revIDLastSave="0" documentId="13_ncr:1_{59930A37-11CD-436A-A3C6-6AA23CB80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Feuil1!$A$1:$CM$207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1" l="1"/>
  <c r="H182" i="1"/>
  <c r="H208" i="1"/>
  <c r="I49" i="1"/>
  <c r="H75" i="1"/>
  <c r="H76" i="1"/>
  <c r="H74" i="1"/>
  <c r="H77" i="1" s="1"/>
  <c r="I176" i="1" l="1"/>
  <c r="I175" i="1"/>
  <c r="I174" i="1"/>
  <c r="I172" i="1"/>
  <c r="I162" i="1"/>
  <c r="I161" i="1"/>
  <c r="I169" i="1"/>
  <c r="I160" i="1"/>
  <c r="I182" i="1" s="1"/>
  <c r="H184" i="1"/>
  <c r="H185" i="1"/>
  <c r="H186" i="1"/>
  <c r="H190" i="1"/>
  <c r="H191" i="1"/>
  <c r="H189" i="1"/>
  <c r="I193" i="1"/>
  <c r="I194" i="1"/>
  <c r="I195" i="1"/>
  <c r="I192" i="1"/>
  <c r="I188" i="1"/>
  <c r="I153" i="1"/>
  <c r="I159" i="1" s="1"/>
  <c r="I65" i="1"/>
  <c r="I64" i="1"/>
  <c r="I62" i="1"/>
  <c r="I63" i="1"/>
  <c r="I67" i="1"/>
  <c r="I66" i="1"/>
  <c r="I71" i="1"/>
  <c r="I72" i="1"/>
  <c r="I70" i="1"/>
  <c r="I33" i="1"/>
  <c r="I26" i="1"/>
  <c r="K12" i="1"/>
  <c r="I12" i="1"/>
  <c r="I27" i="1"/>
  <c r="I207" i="1" l="1"/>
  <c r="I206" i="1"/>
  <c r="I208" i="1" s="1"/>
  <c r="I56" i="1" l="1"/>
  <c r="I47" i="1"/>
  <c r="I48" i="1"/>
  <c r="I50" i="1"/>
  <c r="I51" i="1"/>
  <c r="I52" i="1"/>
  <c r="I53" i="1"/>
  <c r="I54" i="1"/>
  <c r="I55" i="1"/>
  <c r="I59" i="1"/>
  <c r="I58" i="1"/>
  <c r="I57" i="1"/>
  <c r="I60" i="1"/>
  <c r="I61" i="1"/>
  <c r="I46" i="1"/>
  <c r="I28" i="1"/>
  <c r="K7" i="1"/>
  <c r="K8" i="1"/>
  <c r="K18" i="1"/>
  <c r="K19" i="1"/>
  <c r="K25" i="1"/>
  <c r="K35" i="1"/>
  <c r="K38" i="1"/>
  <c r="K40" i="1"/>
  <c r="K42" i="1"/>
  <c r="K44" i="1"/>
  <c r="K57" i="1"/>
  <c r="K58" i="1"/>
  <c r="K59" i="1"/>
  <c r="K61" i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9" i="1"/>
  <c r="I30" i="1"/>
  <c r="I31" i="1"/>
  <c r="I32" i="1"/>
  <c r="I34" i="1"/>
  <c r="I35" i="1"/>
  <c r="I36" i="1"/>
  <c r="I37" i="1"/>
  <c r="I38" i="1"/>
  <c r="I39" i="1"/>
  <c r="I40" i="1"/>
  <c r="I41" i="1"/>
  <c r="I42" i="1"/>
  <c r="I43" i="1"/>
  <c r="I44" i="1"/>
  <c r="I45" i="1"/>
  <c r="I2" i="1"/>
  <c r="I77" i="1" l="1"/>
  <c r="I187" i="1"/>
  <c r="I196" i="1" s="1"/>
  <c r="I209" i="1" s="1"/>
  <c r="H183" i="1"/>
  <c r="H196" i="1" s="1"/>
  <c r="H209" i="1" s="1"/>
</calcChain>
</file>

<file path=xl/sharedStrings.xml><?xml version="1.0" encoding="utf-8"?>
<sst xmlns="http://schemas.openxmlformats.org/spreadsheetml/2006/main" count="2290" uniqueCount="409">
  <si>
    <t>AGRICULTEUR</t>
  </si>
  <si>
    <t>ZONNE</t>
  </si>
  <si>
    <t>responsable région</t>
  </si>
  <si>
    <t>CIN</t>
  </si>
  <si>
    <t>REGION</t>
  </si>
  <si>
    <t>LOCALOSATION</t>
  </si>
  <si>
    <t>PRECEDEN CULTURAL2024</t>
  </si>
  <si>
    <t>NBR,HECTAR</t>
  </si>
  <si>
    <t>TONNAGE</t>
  </si>
  <si>
    <t>RESSOURCES HYDRIQUE</t>
  </si>
  <si>
    <t>DEBIT(L/S)</t>
  </si>
  <si>
    <t>nature de sole</t>
  </si>
  <si>
    <t>accessbilite</t>
  </si>
  <si>
    <t>destination</t>
  </si>
  <si>
    <t>type recolte</t>
  </si>
  <si>
    <t>fumure de fond</t>
  </si>
  <si>
    <t>système dirrigation</t>
  </si>
  <si>
    <t>varietes</t>
  </si>
  <si>
    <t>date plantation</t>
  </si>
  <si>
    <t>debut recolte</t>
  </si>
  <si>
    <t>preparation de sole</t>
  </si>
  <si>
    <t>qualite de preparation</t>
  </si>
  <si>
    <t>ABDELKARIM TRABELSSI</t>
  </si>
  <si>
    <t>ABDELMALAK NAJJAR</t>
  </si>
  <si>
    <t>AHMED SASSI</t>
  </si>
  <si>
    <t>AMAL BEN AMMAR</t>
  </si>
  <si>
    <t>AZAIZ BEN ISSA</t>
  </si>
  <si>
    <t>AZOUZ BEN MASSOUD</t>
  </si>
  <si>
    <t>BADIA SAAFI</t>
  </si>
  <si>
    <t>FETHI MANAA</t>
  </si>
  <si>
    <t>HICHEM SAAFI</t>
  </si>
  <si>
    <t>IMED TRABILSI</t>
  </si>
  <si>
    <t>KAIS ELBAKOUCHE</t>
  </si>
  <si>
    <t>MED MARWENE MAJDOUB</t>
  </si>
  <si>
    <t>MOHAMED BEN HEDI MEHEMDI</t>
  </si>
  <si>
    <t>MOHAMED LEHKIMI</t>
  </si>
  <si>
    <t>MONCEF ELMAJDOUB</t>
  </si>
  <si>
    <t>MOUEZ BEN ISSA</t>
  </si>
  <si>
    <t>MOUEZ ESSAAFI</t>
  </si>
  <si>
    <t>HICHEM TRABELSI</t>
  </si>
  <si>
    <t>NAJMEDDINE BEN SALAH</t>
  </si>
  <si>
    <t>NIZAR MANAA</t>
  </si>
  <si>
    <t>NOOMEN ECHAGRAOUI</t>
  </si>
  <si>
    <t>SAMI KAAB</t>
  </si>
  <si>
    <t>RASLEN BEN SALAH</t>
  </si>
  <si>
    <t xml:space="preserve">ROMDHAN SAAFI </t>
  </si>
  <si>
    <t>SALEM LEGRERI</t>
  </si>
  <si>
    <t>SAMI DAKHLAOUI</t>
  </si>
  <si>
    <t>SAMI LASMAR</t>
  </si>
  <si>
    <t>MOUHAMED TRABELSI</t>
  </si>
  <si>
    <t>ABDELKADER MANNA</t>
  </si>
  <si>
    <t>AHMED BEN CHIKH</t>
  </si>
  <si>
    <t>MOUHAMED MESSII</t>
  </si>
  <si>
    <t>HAMMADI BENZRIBIA</t>
  </si>
  <si>
    <t>ZOUHAIR BEN  ECHIK</t>
  </si>
  <si>
    <t>TAREK EL BAHRI</t>
  </si>
  <si>
    <t>MOUAOUIA MOKTAR</t>
  </si>
  <si>
    <t>AHMED ATTIA</t>
  </si>
  <si>
    <t>MAHER BELHAJ SALAH</t>
  </si>
  <si>
    <t>ABDESLEM BEN SOUISSI</t>
  </si>
  <si>
    <t>MED TAHER</t>
  </si>
  <si>
    <t>STE KERKOUANE S.A</t>
  </si>
  <si>
    <t>HABIB BELWEAR</t>
  </si>
  <si>
    <t>MOHAMED BEN MOUAOUIA</t>
  </si>
  <si>
    <t>HASSEN BEN ALIA</t>
  </si>
  <si>
    <t>STE BACCARA</t>
  </si>
  <si>
    <t>FETHI LEHBIBI</t>
  </si>
  <si>
    <t xml:space="preserve">STE 428 SERVICES AGRICOLES </t>
  </si>
  <si>
    <t>dar allouch</t>
  </si>
  <si>
    <t>menzel tamim</t>
  </si>
  <si>
    <t>lebna</t>
  </si>
  <si>
    <t>menzel horr</t>
  </si>
  <si>
    <t>beja</t>
  </si>
  <si>
    <t>medjez beb</t>
  </si>
  <si>
    <t>nabeul</t>
  </si>
  <si>
    <t>bor amri</t>
  </si>
  <si>
    <t>tomate</t>
  </si>
  <si>
    <t>HAMMADI TRABISI</t>
  </si>
  <si>
    <t>non cultive</t>
  </si>
  <si>
    <t>févrole</t>
  </si>
  <si>
    <t>piment</t>
  </si>
  <si>
    <t>pomme de terre</t>
  </si>
  <si>
    <t>sondage</t>
  </si>
  <si>
    <t>sondage/ puit</t>
  </si>
  <si>
    <t>puit</t>
  </si>
  <si>
    <t>sableux</t>
  </si>
  <si>
    <t>argileux</t>
  </si>
  <si>
    <t>sableux/agileux</t>
  </si>
  <si>
    <t>pl/ppl</t>
  </si>
  <si>
    <t>pl/semi</t>
  </si>
  <si>
    <t>manuelle</t>
  </si>
  <si>
    <t>DAP</t>
  </si>
  <si>
    <t>prét</t>
  </si>
  <si>
    <t>fumier</t>
  </si>
  <si>
    <t>mixte</t>
  </si>
  <si>
    <t>installé</t>
  </si>
  <si>
    <t>savera</t>
  </si>
  <si>
    <t>dorra/ercole</t>
  </si>
  <si>
    <t>savera topsport</t>
  </si>
  <si>
    <t>FEDI</t>
  </si>
  <si>
    <t>USINE</t>
  </si>
  <si>
    <t>COMOCAP</t>
  </si>
  <si>
    <t>SICAM</t>
  </si>
  <si>
    <t>TUCAL</t>
  </si>
  <si>
    <t>HSSINE BRINI</t>
  </si>
  <si>
    <t>ABDELHAKIM MEJRI</t>
  </si>
  <si>
    <t>AHMED IDRISSI</t>
  </si>
  <si>
    <t>HANI BEN KILANI</t>
  </si>
  <si>
    <t>TAREK BEN ABDALAH</t>
  </si>
  <si>
    <t>ANIS DHAWADI</t>
  </si>
  <si>
    <t>LAZHER HAJ MOULDI</t>
  </si>
  <si>
    <t>HAMED HAMAMMI</t>
  </si>
  <si>
    <t>HAMED BEN YOUNIS</t>
  </si>
  <si>
    <t>HOUSSEM BRAYEK</t>
  </si>
  <si>
    <t>MOUHAMED AOUINET</t>
  </si>
  <si>
    <t>NAJIB BACCOUCH</t>
  </si>
  <si>
    <t>IBRAHIM BEN BOUBAKER</t>
  </si>
  <si>
    <t>KAMEL TRABELSSI</t>
  </si>
  <si>
    <t>HASSAN BEN HAJD FRAJ</t>
  </si>
  <si>
    <t>ABDELFATEH BEN SLIMEN</t>
  </si>
  <si>
    <t>bien</t>
  </si>
  <si>
    <t>passteque</t>
  </si>
  <si>
    <r>
      <rPr>
        <i/>
        <sz val="11"/>
        <color theme="1"/>
        <rFont val="Calibri"/>
        <family val="2"/>
        <scheme val="minor"/>
      </rPr>
      <t>dar</t>
    </r>
    <r>
      <rPr>
        <sz val="11"/>
        <color theme="1"/>
        <rFont val="Calibri"/>
        <family val="2"/>
        <scheme val="minor"/>
      </rPr>
      <t xml:space="preserve"> allouch</t>
    </r>
  </si>
  <si>
    <t>MAKKI BEN SALAH</t>
  </si>
  <si>
    <t>ABDELKADER YEDES</t>
  </si>
  <si>
    <t>06423100</t>
  </si>
  <si>
    <t>KORBA/SOMAA</t>
  </si>
  <si>
    <t>SAVERA+SARRAH</t>
  </si>
  <si>
    <t xml:space="preserve">ABEDLAZIZ LAYARI </t>
  </si>
  <si>
    <t>06325576</t>
  </si>
  <si>
    <t>DIAR HOJJEJ</t>
  </si>
  <si>
    <t xml:space="preserve">SAVERA </t>
  </si>
  <si>
    <t>ABEDLAZIZ LAYARI +RAMZI</t>
  </si>
  <si>
    <t>ABEDRAZEK BEY</t>
  </si>
  <si>
    <t>01807794</t>
  </si>
  <si>
    <t>TEFELOUN</t>
  </si>
  <si>
    <t>ABEDSATTAR HATBI</t>
  </si>
  <si>
    <t>06304561</t>
  </si>
  <si>
    <t>HTOUBA</t>
  </si>
  <si>
    <t>ABEDSATTAR MATHLOUTHI</t>
  </si>
  <si>
    <t>06313135</t>
  </si>
  <si>
    <t>ACHREF BEN SASSI</t>
  </si>
  <si>
    <t>09753195</t>
  </si>
  <si>
    <t>OUED CHIBA</t>
  </si>
  <si>
    <t xml:space="preserve">ACHREF HATBI </t>
  </si>
  <si>
    <t>06499718</t>
  </si>
  <si>
    <t>FARTOUNA</t>
  </si>
  <si>
    <t>ADEL JAZI</t>
  </si>
  <si>
    <t>09768905</t>
  </si>
  <si>
    <t>AHMED BEN ALAYA</t>
  </si>
  <si>
    <t>06443295</t>
  </si>
  <si>
    <t>OUED KHATEF</t>
  </si>
  <si>
    <t xml:space="preserve">AHMED HMIDEN </t>
  </si>
  <si>
    <t>06264740</t>
  </si>
  <si>
    <t>ALAEDINE KILENI</t>
  </si>
  <si>
    <t>09866976</t>
  </si>
  <si>
    <t xml:space="preserve">BIR MASOUDA </t>
  </si>
  <si>
    <t>ALI KOTLI</t>
  </si>
  <si>
    <t>05111641</t>
  </si>
  <si>
    <t>KORBA</t>
  </si>
  <si>
    <t>20/03/2026</t>
  </si>
  <si>
    <t>ANIS RAYES</t>
  </si>
  <si>
    <t>06470151</t>
  </si>
  <si>
    <t>AYMEN BEN OTHMEN</t>
  </si>
  <si>
    <t>06492564</t>
  </si>
  <si>
    <t>GARAT SASSI</t>
  </si>
  <si>
    <t xml:space="preserve">AYMEN CHABEN </t>
  </si>
  <si>
    <t>06494754</t>
  </si>
  <si>
    <t xml:space="preserve">AYMEN SAIDI </t>
  </si>
  <si>
    <t>06407894</t>
  </si>
  <si>
    <t xml:space="preserve">FAOUZI ANTRI </t>
  </si>
  <si>
    <t>06385314</t>
  </si>
  <si>
    <t xml:space="preserve">HABIB MAKHLOUF </t>
  </si>
  <si>
    <t>01837297</t>
  </si>
  <si>
    <t>IBRAHIM KILENI</t>
  </si>
  <si>
    <t>06452667</t>
  </si>
  <si>
    <t xml:space="preserve">ISKANDER BEN SALAH </t>
  </si>
  <si>
    <t>06422482</t>
  </si>
  <si>
    <t>TBAG</t>
  </si>
  <si>
    <t>JABER BEN DHIA</t>
  </si>
  <si>
    <t>01634111</t>
  </si>
  <si>
    <t>SOMAA</t>
  </si>
  <si>
    <t xml:space="preserve">JAMIL ALAYA </t>
  </si>
  <si>
    <t>09754817</t>
  </si>
  <si>
    <t>KAMEL CHOUCHEN</t>
  </si>
  <si>
    <t>05128204</t>
  </si>
  <si>
    <t>SAVERA+HEINZ61</t>
  </si>
  <si>
    <t xml:space="preserve">KHALED BELHAJ </t>
  </si>
  <si>
    <t>01718724</t>
  </si>
  <si>
    <t>GOURCHIN</t>
  </si>
  <si>
    <t>LASSED NEILI</t>
  </si>
  <si>
    <t>06273072</t>
  </si>
  <si>
    <t>DIAR HOJJEJ/KHARREZ</t>
  </si>
  <si>
    <t>LOTFY HAJIJ</t>
  </si>
  <si>
    <t>06388399</t>
  </si>
  <si>
    <t>ATHLETH/HTOUBA</t>
  </si>
  <si>
    <t>MAHER BELHAJ FRAJ</t>
  </si>
  <si>
    <t>06338780</t>
  </si>
  <si>
    <t>MAHMOUD MESSADI</t>
  </si>
  <si>
    <t>06296384</t>
  </si>
  <si>
    <t xml:space="preserve">MOHAMED ALI SELMI </t>
  </si>
  <si>
    <t>02051140</t>
  </si>
  <si>
    <t xml:space="preserve"> CENTRE -OUEST</t>
  </si>
  <si>
    <t>KAIROUAN</t>
  </si>
  <si>
    <t xml:space="preserve">MOHAMED ILYES BEN OTHMEN </t>
  </si>
  <si>
    <t>06497565</t>
  </si>
  <si>
    <t>MOHAMED THAMER BEN ALAYA</t>
  </si>
  <si>
    <t>14416495</t>
  </si>
  <si>
    <t>06471748</t>
  </si>
  <si>
    <t>BENI AYECH</t>
  </si>
  <si>
    <t>MOHAMED ALI MBAREK</t>
  </si>
  <si>
    <t>06409346</t>
  </si>
  <si>
    <t>ATHLETH</t>
  </si>
  <si>
    <t xml:space="preserve">MOHAMED BEDIA NEJI </t>
  </si>
  <si>
    <t>06439877</t>
  </si>
  <si>
    <t>FRININ</t>
  </si>
  <si>
    <t>MOHAMED BEN HSSAN</t>
  </si>
  <si>
    <t>01652118</t>
  </si>
  <si>
    <t xml:space="preserve">MOHAMED GHARBI </t>
  </si>
  <si>
    <t>06284696</t>
  </si>
  <si>
    <t>MOHAMED RHIM</t>
  </si>
  <si>
    <t>01605290</t>
  </si>
  <si>
    <t>MOHAMED ZIADI</t>
  </si>
  <si>
    <t>06355419</t>
  </si>
  <si>
    <t>MOUNIR BEY</t>
  </si>
  <si>
    <t>06314697</t>
  </si>
  <si>
    <t>TEFELOUN/DIAR HOJJEJ</t>
  </si>
  <si>
    <t>NADER BEN AICHA</t>
  </si>
  <si>
    <t>09776677</t>
  </si>
  <si>
    <t>NIZAR BOUOUD</t>
  </si>
  <si>
    <t>06332874</t>
  </si>
  <si>
    <t>GOMBAR</t>
  </si>
  <si>
    <t>OMAR HAMEMI</t>
  </si>
  <si>
    <t>09752142</t>
  </si>
  <si>
    <t>RAMZI HAMDOUN</t>
  </si>
  <si>
    <t>06394499</t>
  </si>
  <si>
    <t xml:space="preserve">RAMZI MATHLOUTHI </t>
  </si>
  <si>
    <t>06381868</t>
  </si>
  <si>
    <t>RIADH  BEN SAID</t>
  </si>
  <si>
    <t>06455768</t>
  </si>
  <si>
    <t xml:space="preserve">RIADH BEN ZBIR </t>
  </si>
  <si>
    <t>06470816</t>
  </si>
  <si>
    <t>MENZEL HORR</t>
  </si>
  <si>
    <t>SABER KHARBESH</t>
  </si>
  <si>
    <t>06335372</t>
  </si>
  <si>
    <t>SALEH BEN HAMOUDA</t>
  </si>
  <si>
    <t>01620341</t>
  </si>
  <si>
    <t>SAMEH BACCOUCH</t>
  </si>
  <si>
    <t>09761478</t>
  </si>
  <si>
    <t>BELYES</t>
  </si>
  <si>
    <t>SLAH BANI</t>
  </si>
  <si>
    <t>SLAH BEN ABDALLAH</t>
  </si>
  <si>
    <t>01812721</t>
  </si>
  <si>
    <t>SASSI MANSOUR</t>
  </si>
  <si>
    <t>01814750</t>
  </si>
  <si>
    <t>SLAH HATBI</t>
  </si>
  <si>
    <t>06480522</t>
  </si>
  <si>
    <t xml:space="preserve">TAHER MATHLOUTHI </t>
  </si>
  <si>
    <t>06262802</t>
  </si>
  <si>
    <t>TAREK BEN NJI</t>
  </si>
  <si>
    <t>06195105</t>
  </si>
  <si>
    <t>HSSIN HATBI</t>
  </si>
  <si>
    <t>06323454</t>
  </si>
  <si>
    <t xml:space="preserve">AYMEN HATTAB </t>
  </si>
  <si>
    <t>09768806</t>
  </si>
  <si>
    <t>ABDELKADER KALBOUSI</t>
  </si>
  <si>
    <t>06342689</t>
  </si>
  <si>
    <t>MAKRAM HAFFAR</t>
  </si>
  <si>
    <t>06420160</t>
  </si>
  <si>
    <t xml:space="preserve">MOHAMED BEL MADHI </t>
  </si>
  <si>
    <t>06331188</t>
  </si>
  <si>
    <t>SOFIENNE GHZELA</t>
  </si>
  <si>
    <t>06422403</t>
  </si>
  <si>
    <t xml:space="preserve">KHALED CHATER </t>
  </si>
  <si>
    <t>05129699</t>
  </si>
  <si>
    <t>GROMBELIA</t>
  </si>
  <si>
    <t>KAIS MHATLI</t>
  </si>
  <si>
    <t>06302671</t>
  </si>
  <si>
    <t>SIDI HASSOUN</t>
  </si>
  <si>
    <t xml:space="preserve">MOHAMED AOUINI </t>
  </si>
  <si>
    <t>06442202</t>
  </si>
  <si>
    <t>MOHAMED MANNOUBI</t>
  </si>
  <si>
    <t>BOUJRIDA</t>
  </si>
  <si>
    <t>ZOUHAIR BAICH</t>
  </si>
  <si>
    <t>01846426</t>
  </si>
  <si>
    <t>LEBNA/TAMEZRRAT</t>
  </si>
  <si>
    <t>MOHAMED BEN SAID</t>
  </si>
  <si>
    <t>06490361</t>
  </si>
  <si>
    <t>NABIL BEN HSSAN</t>
  </si>
  <si>
    <t>06290182</t>
  </si>
  <si>
    <t>JALEL RHIM</t>
  </si>
  <si>
    <t>01819739</t>
  </si>
  <si>
    <t>STE AGROBEST</t>
  </si>
  <si>
    <t>PROPOSITION BESOIN CAISSES</t>
  </si>
  <si>
    <t>KHALIL</t>
  </si>
  <si>
    <t>AMOR KHECHIN</t>
  </si>
  <si>
    <t>BATTEN</t>
  </si>
  <si>
    <t>SAVERA</t>
  </si>
  <si>
    <t>RM</t>
  </si>
  <si>
    <t>MOURAD HEMMEDI</t>
  </si>
  <si>
    <t>AWAMRIYA</t>
  </si>
  <si>
    <t>AKAREM HEMMEDI</t>
  </si>
  <si>
    <t>SBIKHA-CHRARDA</t>
  </si>
  <si>
    <t>EZZEDINE GUESMI</t>
  </si>
  <si>
    <t>ZAAFRANA-ELKHADHRA</t>
  </si>
  <si>
    <t>BOUBAKER FILALI</t>
  </si>
  <si>
    <t>MENZEL MHIRI</t>
  </si>
  <si>
    <t>SAMIR ATTIYA</t>
  </si>
  <si>
    <t>ELHAWEREB-AIN BIDHA-HAFOUZ</t>
  </si>
  <si>
    <t>STE SEMAG</t>
  </si>
  <si>
    <t>KHADHRA</t>
  </si>
  <si>
    <t>SALEM EL MEJRI</t>
  </si>
  <si>
    <t>CHEBIKA-ELHAWEREB</t>
  </si>
  <si>
    <t>NEGI ZAAFOURI</t>
  </si>
  <si>
    <t>ZAAFRIA</t>
  </si>
  <si>
    <t>SIDI BOUZID</t>
  </si>
  <si>
    <t>KAIS DHAOUI</t>
  </si>
  <si>
    <t>OTHMEN DHIBI</t>
  </si>
  <si>
    <t>OM ADHAM</t>
  </si>
  <si>
    <t>RAMDHAN MHEDHBI</t>
  </si>
  <si>
    <t>SIDI SAIID</t>
  </si>
  <si>
    <t>BOUFICHA</t>
  </si>
  <si>
    <t>SAMI FERGENI</t>
  </si>
  <si>
    <t>HEDI SLAMA</t>
  </si>
  <si>
    <t>SIDI KHELIFA</t>
  </si>
  <si>
    <t>TOTAL KHALIL</t>
  </si>
  <si>
    <t xml:space="preserve"> ACHREF AJLANI</t>
  </si>
  <si>
    <t>HAFEDH MOSBEH</t>
  </si>
  <si>
    <t>GAFSA</t>
  </si>
  <si>
    <t>OULED ZID</t>
  </si>
  <si>
    <t xml:space="preserve">SONDAGE </t>
  </si>
  <si>
    <t>PL-SEMI</t>
  </si>
  <si>
    <t>MANUELLE</t>
  </si>
  <si>
    <t>DAP (1)</t>
  </si>
  <si>
    <t>MIXTE</t>
  </si>
  <si>
    <t xml:space="preserve">Bonne </t>
  </si>
  <si>
    <t xml:space="preserve"> SAVERA</t>
  </si>
  <si>
    <t>3/03/2026</t>
  </si>
  <si>
    <t>3/07/2026</t>
  </si>
  <si>
    <t>ACHREF AJLANI</t>
  </si>
  <si>
    <t>MECANIQUE</t>
  </si>
  <si>
    <t>HEINZ 7708</t>
  </si>
  <si>
    <t>25/3/2026</t>
  </si>
  <si>
    <t>25/7/2026</t>
  </si>
  <si>
    <t>BILEL GHA</t>
  </si>
  <si>
    <t>SIDI AICH</t>
  </si>
  <si>
    <t>SAVERA/HEINZ 7708</t>
  </si>
  <si>
    <t>6/3/2026</t>
  </si>
  <si>
    <t>6/7/2026</t>
  </si>
  <si>
    <t>SOUHAIEL BOUZANA</t>
  </si>
  <si>
    <t>5/3/2026</t>
  </si>
  <si>
    <t>10 /7/2026</t>
  </si>
  <si>
    <t>KARIM GARMALAH</t>
  </si>
  <si>
    <t>AMAYMIA</t>
  </si>
  <si>
    <t>28/2/2026</t>
  </si>
  <si>
    <t>28/6/2026</t>
  </si>
  <si>
    <t>MOURAD MANSOUEI</t>
  </si>
  <si>
    <t>KASSRINE</t>
  </si>
  <si>
    <t>MAJEL BELABESS</t>
  </si>
  <si>
    <t>6/4/2026</t>
  </si>
  <si>
    <t>6/8/2026</t>
  </si>
  <si>
    <t>TOTAL ACHREF</t>
  </si>
  <si>
    <t>TOTAL FEDI</t>
  </si>
  <si>
    <t xml:space="preserve">SICAM </t>
  </si>
  <si>
    <t>JILANI OBAY</t>
  </si>
  <si>
    <t>Slim Marzougui</t>
  </si>
  <si>
    <t>NORD</t>
  </si>
  <si>
    <t>Wed Mliz</t>
  </si>
  <si>
    <t>CEREAL</t>
  </si>
  <si>
    <t>ARG</t>
  </si>
  <si>
    <t>PL/SEMI</t>
  </si>
  <si>
    <t>DCT</t>
  </si>
  <si>
    <t>Bonne</t>
  </si>
  <si>
    <t>Heinz 61</t>
  </si>
  <si>
    <t>Fethi Sdiri</t>
  </si>
  <si>
    <t>Gar Dimaou</t>
  </si>
  <si>
    <t>PELEE/DCT</t>
  </si>
  <si>
    <t>Manuelle</t>
  </si>
  <si>
    <t>Ercole/Heinz 61</t>
  </si>
  <si>
    <t>Imed Amdouni</t>
  </si>
  <si>
    <t xml:space="preserve">06 35 55 55 </t>
  </si>
  <si>
    <t>Jandouba</t>
  </si>
  <si>
    <t>Lotfi Trabelsi</t>
  </si>
  <si>
    <t>DCT/PELEE</t>
  </si>
  <si>
    <t>60</t>
  </si>
  <si>
    <t>40</t>
  </si>
  <si>
    <t>Issam Kouki</t>
  </si>
  <si>
    <t xml:space="preserve">58 97 45 62 </t>
  </si>
  <si>
    <t>Sidi Ismail</t>
  </si>
  <si>
    <t>Ercole</t>
  </si>
  <si>
    <t>Nejib Mechrgui(SNVDA)</t>
  </si>
  <si>
    <t>Bellarigia</t>
  </si>
  <si>
    <t>Ahmed Ballagui</t>
  </si>
  <si>
    <t>Bou Salem</t>
  </si>
  <si>
    <t>Moez ben Abdallah</t>
  </si>
  <si>
    <t>Sidi Othman</t>
  </si>
  <si>
    <t>ELFALLEH</t>
  </si>
  <si>
    <t>SEBTI JABALLI</t>
  </si>
  <si>
    <t>FERIANA</t>
  </si>
  <si>
    <t>ABIDA</t>
  </si>
  <si>
    <t>BIR LAHFAY</t>
  </si>
  <si>
    <t>MOHAMED ALI GHZELA</t>
  </si>
  <si>
    <t>NABEUL</t>
  </si>
  <si>
    <t>MANOUBA</t>
  </si>
  <si>
    <t>TOTAL JILANI</t>
  </si>
  <si>
    <t>TOTAL MEKKI</t>
  </si>
  <si>
    <t>TOTAL</t>
  </si>
  <si>
    <t>AYE</t>
  </si>
  <si>
    <t>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</si>
</sst>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charset val="134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1D1C1D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Lustria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Lustria"/>
      <charset val="134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3" fillId="0" borderId="0"/>
  </cellStyleXfs>
  <cellXfs count="13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4" borderId="1" xfId="0" applyFill="1" applyBorder="1"/>
    <xf numFmtId="14" fontId="0" fillId="0" borderId="0" xfId="0" applyNumberFormat="1"/>
    <xf numFmtId="0" fontId="8" fillId="0" borderId="0" xfId="0" applyFont="1"/>
    <xf numFmtId="0" fontId="4" fillId="4" borderId="1" xfId="0" applyFont="1" applyFill="1" applyBorder="1"/>
    <xf numFmtId="49" fontId="3" fillId="4" borderId="1" xfId="0" applyNumberFormat="1" applyFont="1" applyFill="1" applyBorder="1" applyAlignment="1">
      <alignment vertical="center" readingOrder="1"/>
    </xf>
    <xf numFmtId="16" fontId="2" fillId="2" borderId="0" xfId="0" applyNumberFormat="1" applyFont="1" applyFill="1" applyAlignment="1">
      <alignment horizontal="center" vertical="center" wrapText="1"/>
    </xf>
    <xf numFmtId="0" fontId="0" fillId="5" borderId="0" xfId="0" applyFill="1"/>
    <xf numFmtId="49" fontId="1" fillId="2" borderId="2" xfId="0" applyNumberFormat="1" applyFont="1" applyFill="1" applyBorder="1" applyAlignment="1">
      <alignment horizontal="center" vertical="center" wrapText="1" readingOrder="1"/>
    </xf>
    <xf numFmtId="2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 readingOrder="1"/>
    </xf>
    <xf numFmtId="1" fontId="1" fillId="2" borderId="2" xfId="0" applyNumberFormat="1" applyFont="1" applyFill="1" applyBorder="1" applyAlignment="1">
      <alignment horizontal="center" vertical="center" wrapText="1" readingOrder="1"/>
    </xf>
    <xf numFmtId="3" fontId="1" fillId="2" borderId="2" xfId="0" applyNumberFormat="1" applyFont="1" applyFill="1" applyBorder="1" applyAlignment="1">
      <alignment horizontal="center" vertical="center" wrapText="1" readingOrder="1"/>
    </xf>
    <xf numFmtId="16" fontId="2" fillId="2" borderId="2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readingOrder="1"/>
    </xf>
    <xf numFmtId="16" fontId="15" fillId="2" borderId="4" xfId="0" applyNumberFormat="1" applyFont="1" applyFill="1" applyBorder="1" applyAlignment="1">
      <alignment horizontal="left" vertical="center" wrapText="1" readingOrder="1"/>
    </xf>
    <xf numFmtId="0" fontId="0" fillId="8" borderId="1" xfId="0" applyFill="1" applyBorder="1"/>
    <xf numFmtId="165" fontId="3" fillId="4" borderId="1" xfId="0" applyNumberFormat="1" applyFont="1" applyFill="1" applyBorder="1" applyAlignment="1">
      <alignment vertical="center" readingOrder="1"/>
    </xf>
    <xf numFmtId="1" fontId="4" fillId="4" borderId="1" xfId="0" applyNumberFormat="1" applyFont="1" applyFill="1" applyBorder="1"/>
    <xf numFmtId="14" fontId="3" fillId="4" borderId="1" xfId="0" applyNumberFormat="1" applyFont="1" applyFill="1" applyBorder="1" applyAlignment="1">
      <alignment vertical="center" readingOrder="1"/>
    </xf>
    <xf numFmtId="0" fontId="6" fillId="4" borderId="1" xfId="0" applyFont="1" applyFill="1" applyBorder="1"/>
    <xf numFmtId="165" fontId="5" fillId="4" borderId="1" xfId="0" applyNumberFormat="1" applyFont="1" applyFill="1" applyBorder="1" applyAlignment="1">
      <alignment vertical="center" readingOrder="1"/>
    </xf>
    <xf numFmtId="0" fontId="7" fillId="4" borderId="1" xfId="0" applyFont="1" applyFill="1" applyBorder="1"/>
    <xf numFmtId="49" fontId="7" fillId="4" borderId="1" xfId="0" applyNumberFormat="1" applyFont="1" applyFill="1" applyBorder="1" applyAlignment="1">
      <alignment vertical="center" readingOrder="1"/>
    </xf>
    <xf numFmtId="0" fontId="8" fillId="4" borderId="1" xfId="0" applyFont="1" applyFill="1" applyBorder="1"/>
    <xf numFmtId="165" fontId="7" fillId="4" borderId="1" xfId="0" applyNumberFormat="1" applyFont="1" applyFill="1" applyBorder="1" applyAlignment="1">
      <alignment vertical="center" readingOrder="1"/>
    </xf>
    <xf numFmtId="1" fontId="7" fillId="4" borderId="1" xfId="0" applyNumberFormat="1" applyFont="1" applyFill="1" applyBorder="1"/>
    <xf numFmtId="14" fontId="7" fillId="4" borderId="1" xfId="0" applyNumberFormat="1" applyFont="1" applyFill="1" applyBorder="1" applyAlignment="1">
      <alignment vertical="center" readingOrder="1"/>
    </xf>
    <xf numFmtId="0" fontId="9" fillId="4" borderId="1" xfId="0" applyFont="1" applyFill="1" applyBorder="1"/>
    <xf numFmtId="1" fontId="3" fillId="4" borderId="1" xfId="0" applyNumberFormat="1" applyFont="1" applyFill="1" applyBorder="1" applyAlignment="1">
      <alignment vertical="center" readingOrder="1"/>
    </xf>
    <xf numFmtId="0" fontId="11" fillId="9" borderId="1" xfId="0" applyFont="1" applyFill="1" applyBorder="1" applyAlignment="1">
      <alignment horizontal="left" readingOrder="1"/>
    </xf>
    <xf numFmtId="0" fontId="16" fillId="9" borderId="1" xfId="0" applyFont="1" applyFill="1" applyBorder="1" applyAlignment="1">
      <alignment horizontal="left" readingOrder="1"/>
    </xf>
    <xf numFmtId="0" fontId="17" fillId="9" borderId="1" xfId="0" applyFont="1" applyFill="1" applyBorder="1" applyAlignment="1">
      <alignment horizontal="left" readingOrder="1"/>
    </xf>
    <xf numFmtId="3" fontId="16" fillId="9" borderId="1" xfId="0" applyNumberFormat="1" applyFont="1" applyFill="1" applyBorder="1" applyAlignment="1">
      <alignment horizontal="left" readingOrder="1"/>
    </xf>
    <xf numFmtId="14" fontId="16" fillId="9" borderId="1" xfId="0" applyNumberFormat="1" applyFont="1" applyFill="1" applyBorder="1" applyAlignment="1">
      <alignment horizontal="left" readingOrder="1"/>
    </xf>
    <xf numFmtId="3" fontId="11" fillId="9" borderId="1" xfId="0" applyNumberFormat="1" applyFont="1" applyFill="1" applyBorder="1" applyAlignment="1">
      <alignment horizontal="left" readingOrder="1"/>
    </xf>
    <xf numFmtId="1" fontId="16" fillId="9" borderId="1" xfId="0" applyNumberFormat="1" applyFont="1" applyFill="1" applyBorder="1" applyAlignment="1">
      <alignment horizontal="left" readingOrder="1"/>
    </xf>
    <xf numFmtId="16" fontId="16" fillId="9" borderId="1" xfId="0" applyNumberFormat="1" applyFont="1" applyFill="1" applyBorder="1" applyAlignment="1">
      <alignment horizontal="left" vertical="center" readingOrder="1"/>
    </xf>
    <xf numFmtId="1" fontId="17" fillId="9" borderId="1" xfId="0" applyNumberFormat="1" applyFont="1" applyFill="1" applyBorder="1" applyAlignment="1">
      <alignment horizontal="left" readingOrder="1"/>
    </xf>
    <xf numFmtId="0" fontId="14" fillId="9" borderId="1" xfId="0" applyFont="1" applyFill="1" applyBorder="1" applyAlignment="1">
      <alignment horizontal="left" readingOrder="1"/>
    </xf>
    <xf numFmtId="14" fontId="11" fillId="9" borderId="1" xfId="0" applyNumberFormat="1" applyFont="1" applyFill="1" applyBorder="1" applyAlignment="1">
      <alignment horizontal="left" readingOrder="1"/>
    </xf>
    <xf numFmtId="0" fontId="11" fillId="10" borderId="1" xfId="0" applyFont="1" applyFill="1" applyBorder="1" applyAlignment="1">
      <alignment horizontal="left"/>
    </xf>
    <xf numFmtId="0" fontId="18" fillId="11" borderId="1" xfId="0" applyFont="1" applyFill="1" applyBorder="1" applyAlignment="1">
      <alignment horizontal="center"/>
    </xf>
    <xf numFmtId="3" fontId="11" fillId="10" borderId="1" xfId="0" applyNumberFormat="1" applyFont="1" applyFill="1" applyBorder="1" applyAlignment="1">
      <alignment horizontal="left"/>
    </xf>
    <xf numFmtId="0" fontId="11" fillId="12" borderId="1" xfId="0" applyFont="1" applyFill="1" applyBorder="1"/>
    <xf numFmtId="49" fontId="19" fillId="10" borderId="1" xfId="0" applyNumberFormat="1" applyFont="1" applyFill="1" applyBorder="1" applyAlignment="1">
      <alignment horizontal="left" vertical="center" readingOrder="1"/>
    </xf>
    <xf numFmtId="49" fontId="19" fillId="10" borderId="1" xfId="0" applyNumberFormat="1" applyFont="1" applyFill="1" applyBorder="1" applyAlignment="1">
      <alignment horizontal="center" vertical="center" readingOrder="1"/>
    </xf>
    <xf numFmtId="0" fontId="11" fillId="11" borderId="1" xfId="0" applyFont="1" applyFill="1" applyBorder="1" applyAlignment="1">
      <alignment horizontal="left" readingOrder="1"/>
    </xf>
    <xf numFmtId="3" fontId="19" fillId="10" borderId="1" xfId="0" applyNumberFormat="1" applyFont="1" applyFill="1" applyBorder="1" applyAlignment="1">
      <alignment horizontal="left" vertical="center" readingOrder="1"/>
    </xf>
    <xf numFmtId="3" fontId="11" fillId="11" borderId="1" xfId="0" applyNumberFormat="1" applyFont="1" applyFill="1" applyBorder="1" applyAlignment="1">
      <alignment horizontal="left" readingOrder="1"/>
    </xf>
    <xf numFmtId="49" fontId="20" fillId="11" borderId="1" xfId="0" applyNumberFormat="1" applyFont="1" applyFill="1" applyBorder="1" applyAlignment="1">
      <alignment horizontal="center" vertical="center" wrapText="1" readingOrder="1"/>
    </xf>
    <xf numFmtId="16" fontId="15" fillId="11" borderId="1" xfId="0" applyNumberFormat="1" applyFont="1" applyFill="1" applyBorder="1" applyAlignment="1">
      <alignment horizontal="center" vertical="center"/>
    </xf>
    <xf numFmtId="3" fontId="0" fillId="11" borderId="1" xfId="0" applyNumberFormat="1" applyFill="1" applyBorder="1"/>
    <xf numFmtId="0" fontId="21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right" readingOrder="1"/>
    </xf>
    <xf numFmtId="3" fontId="21" fillId="11" borderId="1" xfId="0" applyNumberFormat="1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11" fillId="11" borderId="1" xfId="0" applyFont="1" applyFill="1" applyBorder="1"/>
    <xf numFmtId="1" fontId="0" fillId="11" borderId="1" xfId="0" applyNumberFormat="1" applyFill="1" applyBorder="1"/>
    <xf numFmtId="49" fontId="21" fillId="11" borderId="1" xfId="0" applyNumberFormat="1" applyFont="1" applyFill="1" applyBorder="1" applyAlignment="1">
      <alignment horizontal="center"/>
    </xf>
    <xf numFmtId="0" fontId="11" fillId="11" borderId="3" xfId="0" applyFont="1" applyFill="1" applyBorder="1" applyAlignment="1">
      <alignment horizontal="left" readingOrder="1"/>
    </xf>
    <xf numFmtId="0" fontId="0" fillId="3" borderId="0" xfId="0" applyFill="1"/>
    <xf numFmtId="0" fontId="11" fillId="9" borderId="3" xfId="0" applyFont="1" applyFill="1" applyBorder="1" applyAlignment="1">
      <alignment horizontal="left" readingOrder="1"/>
    </xf>
    <xf numFmtId="0" fontId="11" fillId="11" borderId="0" xfId="0" applyFont="1" applyFill="1" applyAlignment="1">
      <alignment horizontal="left" readingOrder="1"/>
    </xf>
    <xf numFmtId="14" fontId="0" fillId="8" borderId="1" xfId="0" applyNumberFormat="1" applyFill="1" applyBorder="1"/>
    <xf numFmtId="0" fontId="22" fillId="7" borderId="1" xfId="0" applyFont="1" applyFill="1" applyBorder="1"/>
    <xf numFmtId="0" fontId="23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right"/>
    </xf>
    <xf numFmtId="0" fontId="24" fillId="7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 readingOrder="1"/>
    </xf>
    <xf numFmtId="14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1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/>
    <xf numFmtId="49" fontId="21" fillId="6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2" fillId="7" borderId="1" xfId="0" applyFont="1" applyFill="1" applyBorder="1" applyAlignment="1">
      <alignment horizontal="center"/>
    </xf>
    <xf numFmtId="16" fontId="21" fillId="6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left"/>
    </xf>
    <xf numFmtId="0" fontId="22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 readingOrder="1"/>
    </xf>
    <xf numFmtId="164" fontId="21" fillId="6" borderId="1" xfId="0" applyNumberFormat="1" applyFont="1" applyFill="1" applyBorder="1" applyAlignment="1">
      <alignment horizontal="left"/>
    </xf>
    <xf numFmtId="164" fontId="21" fillId="6" borderId="1" xfId="0" applyNumberFormat="1" applyFont="1" applyFill="1" applyBorder="1" applyAlignment="1">
      <alignment horizontal="center"/>
    </xf>
    <xf numFmtId="164" fontId="25" fillId="6" borderId="1" xfId="0" applyNumberFormat="1" applyFont="1" applyFill="1" applyBorder="1" applyAlignment="1">
      <alignment horizontal="center"/>
    </xf>
    <xf numFmtId="164" fontId="22" fillId="6" borderId="1" xfId="0" applyNumberFormat="1" applyFont="1" applyFill="1" applyBorder="1" applyAlignment="1">
      <alignment horizontal="center"/>
    </xf>
    <xf numFmtId="3" fontId="0" fillId="0" borderId="0" xfId="0" applyNumberFormat="1"/>
    <xf numFmtId="0" fontId="4" fillId="13" borderId="1" xfId="0" applyFont="1" applyFill="1" applyBorder="1"/>
    <xf numFmtId="49" fontId="3" fillId="13" borderId="1" xfId="0" applyNumberFormat="1" applyFont="1" applyFill="1" applyBorder="1" applyAlignment="1">
      <alignment vertical="center" readingOrder="1"/>
    </xf>
    <xf numFmtId="0" fontId="0" fillId="13" borderId="1" xfId="0" applyFill="1" applyBorder="1"/>
    <xf numFmtId="165" fontId="3" fillId="13" borderId="1" xfId="0" applyNumberFormat="1" applyFont="1" applyFill="1" applyBorder="1" applyAlignment="1">
      <alignment vertical="center" readingOrder="1"/>
    </xf>
    <xf numFmtId="1" fontId="4" fillId="13" borderId="1" xfId="0" applyNumberFormat="1" applyFont="1" applyFill="1" applyBorder="1"/>
    <xf numFmtId="14" fontId="3" fillId="13" borderId="1" xfId="0" applyNumberFormat="1" applyFont="1" applyFill="1" applyBorder="1" applyAlignment="1">
      <alignment vertical="center" readingOrder="1"/>
    </xf>
    <xf numFmtId="2" fontId="3" fillId="4" borderId="1" xfId="0" applyNumberFormat="1" applyFont="1" applyFill="1" applyBorder="1" applyAlignment="1">
      <alignment vertical="center" readingOrder="1"/>
    </xf>
    <xf numFmtId="3" fontId="3" fillId="4" borderId="1" xfId="0" applyNumberFormat="1" applyFont="1" applyFill="1" applyBorder="1" applyAlignment="1">
      <alignment vertical="center" readingOrder="1"/>
    </xf>
    <xf numFmtId="0" fontId="26" fillId="8" borderId="1" xfId="0" applyFont="1" applyFill="1" applyBorder="1"/>
    <xf numFmtId="0" fontId="6" fillId="4" borderId="3" xfId="0" applyFont="1" applyFill="1" applyBorder="1"/>
    <xf numFmtId="0" fontId="0" fillId="11" borderId="3" xfId="0" applyFill="1" applyBorder="1"/>
    <xf numFmtId="0" fontId="4" fillId="14" borderId="1" xfId="0" applyFont="1" applyFill="1" applyBorder="1"/>
    <xf numFmtId="49" fontId="3" fillId="14" borderId="1" xfId="0" applyNumberFormat="1" applyFont="1" applyFill="1" applyBorder="1" applyAlignment="1">
      <alignment vertical="center" readingOrder="1"/>
    </xf>
    <xf numFmtId="165" fontId="3" fillId="14" borderId="1" xfId="0" applyNumberFormat="1" applyFont="1" applyFill="1" applyBorder="1" applyAlignment="1">
      <alignment vertical="center" readingOrder="1"/>
    </xf>
    <xf numFmtId="1" fontId="4" fillId="14" borderId="1" xfId="0" applyNumberFormat="1" applyFont="1" applyFill="1" applyBorder="1"/>
    <xf numFmtId="0" fontId="0" fillId="14" borderId="1" xfId="0" applyFill="1" applyBorder="1"/>
    <xf numFmtId="14" fontId="3" fillId="14" borderId="1" xfId="0" applyNumberFormat="1" applyFont="1" applyFill="1" applyBorder="1" applyAlignment="1">
      <alignment vertical="center" readingOrder="1"/>
    </xf>
    <xf numFmtId="3" fontId="3" fillId="14" borderId="1" xfId="0" applyNumberFormat="1" applyFont="1" applyFill="1" applyBorder="1" applyAlignment="1">
      <alignment vertical="center" readingOrder="1"/>
    </xf>
    <xf numFmtId="14" fontId="0" fillId="14" borderId="1" xfId="0" applyNumberFormat="1" applyFill="1" applyBorder="1"/>
    <xf numFmtId="0" fontId="11" fillId="14" borderId="1" xfId="0" applyFont="1" applyFill="1" applyBorder="1" applyAlignment="1">
      <alignment horizontal="left" readingOrder="1"/>
    </xf>
    <xf numFmtId="0" fontId="16" fillId="14" borderId="1" xfId="0" applyFont="1" applyFill="1" applyBorder="1" applyAlignment="1">
      <alignment horizontal="left" readingOrder="1"/>
    </xf>
    <xf numFmtId="0" fontId="28" fillId="14" borderId="1" xfId="0" applyFont="1" applyFill="1" applyBorder="1" applyAlignment="1">
      <alignment horizontal="left" readingOrder="1"/>
    </xf>
    <xf numFmtId="3" fontId="29" fillId="14" borderId="1" xfId="0" applyNumberFormat="1" applyFont="1" applyFill="1" applyBorder="1" applyAlignment="1">
      <alignment horizontal="left" readingOrder="1"/>
    </xf>
    <xf numFmtId="14" fontId="16" fillId="14" borderId="1" xfId="0" applyNumberFormat="1" applyFont="1" applyFill="1" applyBorder="1" applyAlignment="1">
      <alignment horizontal="left" readingOrder="1"/>
    </xf>
    <xf numFmtId="3" fontId="11" fillId="14" borderId="1" xfId="0" applyNumberFormat="1" applyFont="1" applyFill="1" applyBorder="1" applyAlignment="1">
      <alignment horizontal="left" readingOrder="1"/>
    </xf>
    <xf numFmtId="0" fontId="11" fillId="15" borderId="1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left"/>
    </xf>
    <xf numFmtId="3" fontId="10" fillId="15" borderId="1" xfId="0" applyNumberFormat="1" applyFont="1" applyFill="1" applyBorder="1" applyAlignment="1">
      <alignment horizontal="left"/>
    </xf>
    <xf numFmtId="0" fontId="11" fillId="16" borderId="1" xfId="0" applyFont="1" applyFill="1" applyBorder="1"/>
    <xf numFmtId="49" fontId="19" fillId="15" borderId="1" xfId="0" applyNumberFormat="1" applyFont="1" applyFill="1" applyBorder="1" applyAlignment="1">
      <alignment horizontal="left" vertical="center" readingOrder="1"/>
    </xf>
    <xf numFmtId="49" fontId="19" fillId="15" borderId="1" xfId="0" applyNumberFormat="1" applyFont="1" applyFill="1" applyBorder="1" applyAlignment="1">
      <alignment horizontal="center" vertical="center" readingOrder="1"/>
    </xf>
    <xf numFmtId="3" fontId="19" fillId="15" borderId="1" xfId="0" applyNumberFormat="1" applyFont="1" applyFill="1" applyBorder="1" applyAlignment="1">
      <alignment horizontal="left" vertical="center" readingOrder="1"/>
    </xf>
    <xf numFmtId="0" fontId="22" fillId="16" borderId="6" xfId="0" applyFont="1" applyFill="1" applyBorder="1"/>
    <xf numFmtId="0" fontId="0" fillId="14" borderId="0" xfId="0" applyFill="1"/>
    <xf numFmtId="0" fontId="27" fillId="14" borderId="0" xfId="0" applyFont="1" applyFill="1"/>
    <xf numFmtId="14" fontId="0" fillId="14" borderId="0" xfId="0" applyNumberFormat="1" applyFill="1"/>
    <xf numFmtId="165" fontId="10" fillId="0" borderId="0" xfId="0" applyNumberFormat="1" applyFont="1"/>
    <xf numFmtId="3" fontId="10" fillId="0" borderId="0" xfId="0" applyNumberFormat="1" applyFont="1"/>
    <xf numFmtId="0" fontId="24" fillId="7" borderId="7" xfId="0" applyFont="1" applyFill="1" applyBorder="1"/>
  </cellXfs>
  <cellStyles count="2">
    <cellStyle name="NiveauLigne_4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209"/>
  <sheetViews>
    <sheetView tabSelected="1" topLeftCell="A196" zoomScale="80" zoomScaleNormal="80" workbookViewId="0">
      <selection activeCell="G184" sqref="G184"/>
    </sheetView>
  </sheetViews>
  <sheetFormatPr defaultColWidth="9.109375" defaultRowHeight="14.4"/>
  <cols>
    <col min="1" max="1" width="24.5546875" customWidth="1"/>
    <col min="2" max="2" width="34.33203125" customWidth="1"/>
    <col min="3" max="3" width="20.5546875" customWidth="1"/>
    <col min="4" max="4" width="26.109375" customWidth="1"/>
    <col min="5" max="5" width="31.109375" customWidth="1"/>
    <col min="6" max="6" width="14" customWidth="1"/>
    <col min="7" max="7" width="16" customWidth="1"/>
    <col min="8" max="8" width="9.44140625" customWidth="1"/>
    <col min="9" max="9" width="8.77734375" customWidth="1"/>
    <col min="10" max="11" width="16.33203125" hidden="1" customWidth="1"/>
    <col min="12" max="13" width="14.33203125" hidden="1" customWidth="1"/>
    <col min="14" max="14" width="13.44140625" hidden="1" customWidth="1"/>
    <col min="15" max="15" width="10.33203125" hidden="1" customWidth="1"/>
    <col min="16" max="16" width="14.44140625" hidden="1" customWidth="1"/>
    <col min="17" max="18" width="9.109375" hidden="1" customWidth="1"/>
    <col min="19" max="19" width="12.5546875" hidden="1" customWidth="1"/>
    <col min="20" max="20" width="12.33203125" hidden="1" customWidth="1"/>
    <col min="21" max="21" width="16.88671875" hidden="1" customWidth="1"/>
    <col min="22" max="22" width="15.6640625" style="4" customWidth="1"/>
    <col min="23" max="23" width="17" customWidth="1"/>
    <col min="24" max="24" width="16.109375" customWidth="1"/>
    <col min="25" max="30" width="23.44140625" customWidth="1"/>
    <col min="31" max="35" width="16.33203125" customWidth="1"/>
    <col min="36" max="36" width="12.88671875" customWidth="1"/>
    <col min="37" max="37" width="10" customWidth="1"/>
    <col min="38" max="38" width="10.5546875" bestFit="1" customWidth="1"/>
    <col min="39" max="79" width="12" bestFit="1" customWidth="1"/>
    <col min="80" max="89" width="10.5546875" bestFit="1" customWidth="1"/>
    <col min="90" max="90" width="9.33203125" bestFit="1" customWidth="1"/>
    <col min="91" max="91" width="13.44140625" bestFit="1" customWidth="1"/>
  </cols>
  <sheetData>
    <row r="1" spans="1:90" s="2" customFormat="1" ht="33" customHeight="1">
      <c r="A1" s="10" t="s">
        <v>2</v>
      </c>
      <c r="B1" s="10" t="s">
        <v>0</v>
      </c>
      <c r="C1" s="11" t="s">
        <v>3</v>
      </c>
      <c r="D1" s="12" t="s">
        <v>4</v>
      </c>
      <c r="E1" s="10" t="s">
        <v>1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0" t="s">
        <v>10</v>
      </c>
      <c r="L1" s="14" t="s">
        <v>11</v>
      </c>
      <c r="M1" s="10" t="s">
        <v>12</v>
      </c>
      <c r="N1" s="10" t="s">
        <v>13</v>
      </c>
      <c r="O1" s="12" t="s">
        <v>14</v>
      </c>
      <c r="P1" s="15" t="s">
        <v>20</v>
      </c>
      <c r="Q1" s="10" t="s">
        <v>15</v>
      </c>
      <c r="R1" s="10" t="s">
        <v>93</v>
      </c>
      <c r="S1" s="10" t="s">
        <v>16</v>
      </c>
      <c r="T1" s="10" t="s">
        <v>21</v>
      </c>
      <c r="U1" s="16" t="s">
        <v>17</v>
      </c>
      <c r="V1" s="17" t="s">
        <v>18</v>
      </c>
      <c r="W1" s="16" t="s">
        <v>19</v>
      </c>
      <c r="X1" s="16" t="s">
        <v>100</v>
      </c>
      <c r="Y1" s="19" t="s">
        <v>293</v>
      </c>
      <c r="Z1" s="19">
        <v>46188</v>
      </c>
      <c r="AA1" s="19">
        <v>46189</v>
      </c>
      <c r="AB1" s="19">
        <v>46190</v>
      </c>
      <c r="AC1" s="19">
        <v>46191</v>
      </c>
      <c r="AD1" s="19">
        <v>46192</v>
      </c>
      <c r="AE1" s="16">
        <v>46193</v>
      </c>
      <c r="AF1" s="16">
        <v>46194</v>
      </c>
      <c r="AG1" s="16">
        <v>46195</v>
      </c>
      <c r="AH1" s="16">
        <v>46196</v>
      </c>
      <c r="AI1" s="16">
        <v>46197</v>
      </c>
      <c r="AJ1" s="16">
        <v>46198</v>
      </c>
      <c r="AK1" s="16">
        <v>46199</v>
      </c>
      <c r="AL1" s="16">
        <v>46200</v>
      </c>
      <c r="AM1" s="16">
        <v>46201</v>
      </c>
      <c r="AN1" s="16">
        <v>46202</v>
      </c>
      <c r="AO1" s="16">
        <v>46203</v>
      </c>
      <c r="AP1" s="16">
        <v>46204</v>
      </c>
      <c r="AQ1" s="16">
        <v>46205</v>
      </c>
      <c r="AR1" s="16">
        <v>46206</v>
      </c>
      <c r="AS1" s="16">
        <v>46207</v>
      </c>
      <c r="AT1" s="16">
        <v>46208</v>
      </c>
      <c r="AU1" s="16">
        <v>46209</v>
      </c>
      <c r="AV1" s="16">
        <v>46210</v>
      </c>
      <c r="AW1" s="16">
        <v>46211</v>
      </c>
      <c r="AX1" s="16">
        <v>46212</v>
      </c>
      <c r="AY1" s="16">
        <v>46213</v>
      </c>
      <c r="AZ1" s="16">
        <v>46214</v>
      </c>
      <c r="BA1" s="16">
        <v>46215</v>
      </c>
      <c r="BB1" s="16">
        <v>46216</v>
      </c>
      <c r="BC1" s="16">
        <v>46217</v>
      </c>
      <c r="BD1" s="16">
        <v>46218</v>
      </c>
      <c r="BE1" s="16">
        <v>46219</v>
      </c>
      <c r="BF1" s="16">
        <v>46220</v>
      </c>
      <c r="BG1" s="16">
        <v>46221</v>
      </c>
      <c r="BH1" s="16">
        <v>46222</v>
      </c>
      <c r="BI1" s="16">
        <v>46223</v>
      </c>
      <c r="BJ1" s="16">
        <v>46224</v>
      </c>
      <c r="BK1" s="16">
        <v>46225</v>
      </c>
      <c r="BL1" s="16">
        <v>46226</v>
      </c>
      <c r="BM1" s="16">
        <v>46227</v>
      </c>
      <c r="BN1" s="16">
        <v>46228</v>
      </c>
      <c r="BO1" s="16">
        <v>46229</v>
      </c>
      <c r="BP1" s="16">
        <v>46230</v>
      </c>
      <c r="BQ1" s="16">
        <v>46231</v>
      </c>
      <c r="BR1" s="16">
        <v>46232</v>
      </c>
      <c r="BS1" s="16">
        <v>46233</v>
      </c>
      <c r="BT1" s="16">
        <v>46234</v>
      </c>
      <c r="BU1" s="16">
        <v>46235</v>
      </c>
      <c r="BV1" s="16">
        <v>46236</v>
      </c>
      <c r="BW1" s="16">
        <v>46237</v>
      </c>
      <c r="BX1" s="16">
        <v>46238</v>
      </c>
      <c r="BY1" s="16">
        <v>46239</v>
      </c>
      <c r="BZ1" s="16">
        <v>46240</v>
      </c>
      <c r="CA1" s="16">
        <v>46241</v>
      </c>
      <c r="CB1" s="16">
        <v>46242</v>
      </c>
      <c r="CC1" s="16">
        <v>46243</v>
      </c>
      <c r="CD1" s="16">
        <v>46244</v>
      </c>
      <c r="CE1" s="16">
        <v>46245</v>
      </c>
      <c r="CF1" s="16">
        <v>46246</v>
      </c>
      <c r="CG1" s="16">
        <v>46247</v>
      </c>
      <c r="CH1" s="16">
        <v>46248</v>
      </c>
      <c r="CI1" s="16">
        <v>46249</v>
      </c>
      <c r="CJ1" s="16">
        <v>46250</v>
      </c>
      <c r="CK1" s="16">
        <v>46251</v>
      </c>
      <c r="CL1" s="8"/>
    </row>
    <row r="2" spans="1:90" ht="18">
      <c r="A2" s="6" t="s">
        <v>99</v>
      </c>
      <c r="B2" s="7" t="s">
        <v>104</v>
      </c>
      <c r="C2" s="3"/>
      <c r="D2" s="3" t="s">
        <v>74</v>
      </c>
      <c r="E2" s="3" t="s">
        <v>68</v>
      </c>
      <c r="F2" s="3"/>
      <c r="G2" s="3" t="s">
        <v>76</v>
      </c>
      <c r="H2" s="21">
        <v>1</v>
      </c>
      <c r="I2" s="22">
        <f>H2*75</f>
        <v>75</v>
      </c>
      <c r="J2" s="3" t="s">
        <v>84</v>
      </c>
      <c r="K2" s="3">
        <v>2</v>
      </c>
      <c r="L2" s="3" t="s">
        <v>85</v>
      </c>
      <c r="M2" s="3" t="s">
        <v>88</v>
      </c>
      <c r="N2" s="3"/>
      <c r="O2" s="3" t="s">
        <v>90</v>
      </c>
      <c r="P2" s="3" t="s">
        <v>92</v>
      </c>
      <c r="Q2" s="3" t="s">
        <v>91</v>
      </c>
      <c r="R2" s="3" t="s">
        <v>94</v>
      </c>
      <c r="S2" s="6" t="s">
        <v>95</v>
      </c>
      <c r="T2" s="3" t="s">
        <v>120</v>
      </c>
      <c r="U2" s="6" t="s">
        <v>96</v>
      </c>
      <c r="V2" s="23">
        <v>46096</v>
      </c>
      <c r="W2" s="23">
        <v>46226</v>
      </c>
      <c r="X2" s="23" t="s">
        <v>101</v>
      </c>
      <c r="Y2" s="100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>
        <v>10</v>
      </c>
      <c r="BM2" s="24">
        <v>10</v>
      </c>
      <c r="BN2" s="24">
        <v>10</v>
      </c>
      <c r="BO2" s="24">
        <v>10</v>
      </c>
      <c r="BP2" s="24">
        <v>10</v>
      </c>
      <c r="BQ2" s="24">
        <v>10</v>
      </c>
      <c r="BR2" s="24">
        <v>8</v>
      </c>
      <c r="BS2" s="24">
        <v>7</v>
      </c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</row>
    <row r="3" spans="1:90" ht="18">
      <c r="A3" s="6" t="s">
        <v>99</v>
      </c>
      <c r="B3" s="7" t="s">
        <v>22</v>
      </c>
      <c r="C3" s="3"/>
      <c r="D3" s="3" t="s">
        <v>74</v>
      </c>
      <c r="E3" s="3" t="s">
        <v>68</v>
      </c>
      <c r="F3" s="3"/>
      <c r="G3" s="3" t="s">
        <v>76</v>
      </c>
      <c r="H3" s="21">
        <v>4</v>
      </c>
      <c r="I3" s="22">
        <f t="shared" ref="I3:I45" si="0">H3*75</f>
        <v>300</v>
      </c>
      <c r="J3" s="3" t="s">
        <v>82</v>
      </c>
      <c r="K3" s="3">
        <v>4</v>
      </c>
      <c r="L3" s="3" t="s">
        <v>85</v>
      </c>
      <c r="M3" s="3" t="s">
        <v>88</v>
      </c>
      <c r="N3" s="3"/>
      <c r="O3" s="3" t="s">
        <v>90</v>
      </c>
      <c r="P3" s="3" t="s">
        <v>92</v>
      </c>
      <c r="Q3" s="3" t="s">
        <v>91</v>
      </c>
      <c r="R3" s="3" t="s">
        <v>94</v>
      </c>
      <c r="S3" s="6" t="s">
        <v>95</v>
      </c>
      <c r="T3" s="3" t="s">
        <v>120</v>
      </c>
      <c r="U3" s="6" t="s">
        <v>96</v>
      </c>
      <c r="V3" s="23">
        <v>46078</v>
      </c>
      <c r="W3" s="23">
        <v>46212</v>
      </c>
      <c r="X3" s="23" t="s">
        <v>101</v>
      </c>
      <c r="Y3" s="100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>
        <v>20</v>
      </c>
      <c r="AY3" s="24">
        <v>20</v>
      </c>
      <c r="AZ3" s="24">
        <v>20</v>
      </c>
      <c r="BA3" s="24">
        <v>20</v>
      </c>
      <c r="BB3" s="24">
        <v>20</v>
      </c>
      <c r="BC3" s="24">
        <v>20</v>
      </c>
      <c r="BD3" s="24">
        <v>20</v>
      </c>
      <c r="BE3" s="24">
        <v>20</v>
      </c>
      <c r="BF3" s="24">
        <v>20</v>
      </c>
      <c r="BG3" s="24">
        <v>20</v>
      </c>
      <c r="BH3" s="24">
        <v>20</v>
      </c>
      <c r="BI3" s="24">
        <v>20</v>
      </c>
      <c r="BJ3" s="24">
        <v>20</v>
      </c>
      <c r="BK3" s="24">
        <v>20</v>
      </c>
      <c r="BL3" s="24">
        <v>20</v>
      </c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</row>
    <row r="4" spans="1:90" ht="18">
      <c r="A4" s="6" t="s">
        <v>99</v>
      </c>
      <c r="B4" s="7" t="s">
        <v>23</v>
      </c>
      <c r="C4" s="3"/>
      <c r="D4" s="3" t="s">
        <v>74</v>
      </c>
      <c r="E4" s="3" t="s">
        <v>68</v>
      </c>
      <c r="F4" s="3"/>
      <c r="G4" s="3" t="s">
        <v>76</v>
      </c>
      <c r="H4" s="21">
        <v>4</v>
      </c>
      <c r="I4" s="22">
        <f t="shared" si="0"/>
        <v>300</v>
      </c>
      <c r="J4" s="3" t="s">
        <v>82</v>
      </c>
      <c r="K4" s="3">
        <v>5</v>
      </c>
      <c r="L4" s="3" t="s">
        <v>85</v>
      </c>
      <c r="M4" s="3" t="s">
        <v>88</v>
      </c>
      <c r="N4" s="3"/>
      <c r="O4" s="3" t="s">
        <v>90</v>
      </c>
      <c r="P4" s="3" t="s">
        <v>92</v>
      </c>
      <c r="Q4" s="3" t="s">
        <v>91</v>
      </c>
      <c r="R4" s="3" t="s">
        <v>94</v>
      </c>
      <c r="S4" s="6" t="s">
        <v>95</v>
      </c>
      <c r="T4" s="3" t="s">
        <v>120</v>
      </c>
      <c r="U4" s="6" t="s">
        <v>96</v>
      </c>
      <c r="V4" s="23">
        <v>46082</v>
      </c>
      <c r="W4" s="23">
        <v>46212</v>
      </c>
      <c r="X4" s="23" t="s">
        <v>101</v>
      </c>
      <c r="Y4" s="100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>
        <v>20</v>
      </c>
      <c r="AY4" s="24">
        <v>20</v>
      </c>
      <c r="AZ4" s="24">
        <v>20</v>
      </c>
      <c r="BA4" s="24">
        <v>20</v>
      </c>
      <c r="BB4" s="24">
        <v>20</v>
      </c>
      <c r="BC4" s="24">
        <v>20</v>
      </c>
      <c r="BD4" s="24">
        <v>20</v>
      </c>
      <c r="BE4" s="24">
        <v>20</v>
      </c>
      <c r="BF4" s="24">
        <v>20</v>
      </c>
      <c r="BG4" s="24">
        <v>20</v>
      </c>
      <c r="BH4" s="24">
        <v>20</v>
      </c>
      <c r="BI4" s="24">
        <v>20</v>
      </c>
      <c r="BJ4" s="24">
        <v>20</v>
      </c>
      <c r="BK4" s="24">
        <v>20</v>
      </c>
      <c r="BL4" s="24">
        <v>20</v>
      </c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</row>
    <row r="5" spans="1:90" ht="18">
      <c r="A5" s="6" t="s">
        <v>99</v>
      </c>
      <c r="B5" s="7" t="s">
        <v>24</v>
      </c>
      <c r="C5" s="3"/>
      <c r="D5" s="3" t="s">
        <v>74</v>
      </c>
      <c r="E5" s="3" t="s">
        <v>68</v>
      </c>
      <c r="F5" s="3"/>
      <c r="G5" s="3" t="s">
        <v>76</v>
      </c>
      <c r="H5" s="25">
        <v>1</v>
      </c>
      <c r="I5" s="22">
        <f t="shared" si="0"/>
        <v>75</v>
      </c>
      <c r="J5" s="3" t="s">
        <v>82</v>
      </c>
      <c r="K5" s="3">
        <v>5</v>
      </c>
      <c r="L5" s="3" t="s">
        <v>85</v>
      </c>
      <c r="M5" s="3" t="s">
        <v>88</v>
      </c>
      <c r="N5" s="3"/>
      <c r="O5" s="3" t="s">
        <v>90</v>
      </c>
      <c r="P5" s="3" t="s">
        <v>92</v>
      </c>
      <c r="Q5" s="3" t="s">
        <v>91</v>
      </c>
      <c r="R5" s="3" t="s">
        <v>94</v>
      </c>
      <c r="S5" s="6" t="s">
        <v>95</v>
      </c>
      <c r="T5" s="3" t="s">
        <v>120</v>
      </c>
      <c r="U5" s="6" t="s">
        <v>96</v>
      </c>
      <c r="V5" s="23">
        <v>46086</v>
      </c>
      <c r="W5" s="23">
        <v>46217</v>
      </c>
      <c r="X5" s="23" t="s">
        <v>101</v>
      </c>
      <c r="Y5" s="100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>
        <v>15</v>
      </c>
      <c r="BD5" s="24">
        <v>15</v>
      </c>
      <c r="BE5" s="24">
        <v>15</v>
      </c>
      <c r="BF5" s="24">
        <v>15</v>
      </c>
      <c r="BG5" s="24">
        <v>15</v>
      </c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</row>
    <row r="6" spans="1:90" ht="18">
      <c r="A6" s="6" t="s">
        <v>99</v>
      </c>
      <c r="B6" s="7" t="s">
        <v>25</v>
      </c>
      <c r="C6" s="3"/>
      <c r="D6" s="3" t="s">
        <v>74</v>
      </c>
      <c r="E6" s="3" t="s">
        <v>68</v>
      </c>
      <c r="F6" s="3"/>
      <c r="G6" s="3" t="s">
        <v>76</v>
      </c>
      <c r="H6" s="21">
        <v>1.5</v>
      </c>
      <c r="I6" s="22">
        <f t="shared" si="0"/>
        <v>112.5</v>
      </c>
      <c r="J6" s="3" t="s">
        <v>84</v>
      </c>
      <c r="K6" s="3">
        <v>2</v>
      </c>
      <c r="L6" s="3" t="s">
        <v>85</v>
      </c>
      <c r="M6" s="3" t="s">
        <v>88</v>
      </c>
      <c r="N6" s="3"/>
      <c r="O6" s="3" t="s">
        <v>90</v>
      </c>
      <c r="P6" s="3" t="s">
        <v>92</v>
      </c>
      <c r="Q6" s="3" t="s">
        <v>91</v>
      </c>
      <c r="R6" s="3" t="s">
        <v>94</v>
      </c>
      <c r="S6" s="6" t="s">
        <v>95</v>
      </c>
      <c r="T6" s="3" t="s">
        <v>120</v>
      </c>
      <c r="U6" s="6" t="s">
        <v>96</v>
      </c>
      <c r="V6" s="23">
        <v>46078</v>
      </c>
      <c r="W6" s="23">
        <v>46212</v>
      </c>
      <c r="X6" s="23" t="s">
        <v>101</v>
      </c>
      <c r="Y6" s="100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>
        <v>10</v>
      </c>
      <c r="AY6" s="24">
        <v>10</v>
      </c>
      <c r="AZ6" s="24">
        <v>10</v>
      </c>
      <c r="BA6" s="24">
        <v>10</v>
      </c>
      <c r="BB6" s="24">
        <v>10</v>
      </c>
      <c r="BC6" s="24">
        <v>10</v>
      </c>
      <c r="BD6" s="24">
        <v>10</v>
      </c>
      <c r="BE6" s="24">
        <v>10</v>
      </c>
      <c r="BF6" s="24">
        <v>10</v>
      </c>
      <c r="BG6" s="24">
        <v>10</v>
      </c>
      <c r="BH6" s="24">
        <v>10</v>
      </c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</row>
    <row r="7" spans="1:90" ht="18">
      <c r="A7" s="6" t="s">
        <v>99</v>
      </c>
      <c r="B7" s="7" t="s">
        <v>26</v>
      </c>
      <c r="C7" s="3"/>
      <c r="D7" s="3" t="s">
        <v>74</v>
      </c>
      <c r="E7" s="3" t="s">
        <v>68</v>
      </c>
      <c r="F7" s="3"/>
      <c r="G7" s="3" t="s">
        <v>76</v>
      </c>
      <c r="H7" s="21">
        <v>5</v>
      </c>
      <c r="I7" s="22">
        <f t="shared" si="0"/>
        <v>375</v>
      </c>
      <c r="J7" s="3" t="s">
        <v>82</v>
      </c>
      <c r="K7" s="3">
        <f t="shared" ref="K7:K61" si="1">H7*1.2</f>
        <v>6</v>
      </c>
      <c r="L7" s="3" t="s">
        <v>85</v>
      </c>
      <c r="M7" s="3" t="s">
        <v>88</v>
      </c>
      <c r="N7" s="3"/>
      <c r="O7" s="3" t="s">
        <v>90</v>
      </c>
      <c r="P7" s="3" t="s">
        <v>92</v>
      </c>
      <c r="Q7" s="3" t="s">
        <v>91</v>
      </c>
      <c r="R7" s="3" t="s">
        <v>94</v>
      </c>
      <c r="S7" s="6" t="s">
        <v>95</v>
      </c>
      <c r="T7" s="3" t="s">
        <v>120</v>
      </c>
      <c r="U7" s="6" t="s">
        <v>96</v>
      </c>
      <c r="V7" s="23">
        <v>46091</v>
      </c>
      <c r="W7" s="23">
        <v>46221</v>
      </c>
      <c r="X7" s="23" t="s">
        <v>102</v>
      </c>
      <c r="Y7" s="100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>
        <v>20</v>
      </c>
      <c r="BH7" s="24">
        <v>20</v>
      </c>
      <c r="BI7" s="24">
        <v>20</v>
      </c>
      <c r="BJ7" s="24">
        <v>20</v>
      </c>
      <c r="BK7" s="24">
        <v>20</v>
      </c>
      <c r="BL7" s="24">
        <v>20</v>
      </c>
      <c r="BM7" s="24">
        <v>20</v>
      </c>
      <c r="BN7" s="24">
        <v>20</v>
      </c>
      <c r="BO7" s="24">
        <v>20</v>
      </c>
      <c r="BP7" s="24">
        <v>20</v>
      </c>
      <c r="BQ7" s="24">
        <v>20</v>
      </c>
      <c r="BR7" s="24">
        <v>20</v>
      </c>
      <c r="BS7" s="24">
        <v>20</v>
      </c>
      <c r="BT7" s="24">
        <v>20</v>
      </c>
      <c r="BU7" s="24">
        <v>20</v>
      </c>
      <c r="BV7" s="24">
        <v>20</v>
      </c>
      <c r="BW7" s="24">
        <v>20</v>
      </c>
      <c r="BX7" s="24">
        <v>20</v>
      </c>
      <c r="BY7" s="24">
        <v>15</v>
      </c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</row>
    <row r="8" spans="1:90" ht="18">
      <c r="A8" s="6" t="s">
        <v>99</v>
      </c>
      <c r="B8" s="7" t="s">
        <v>27</v>
      </c>
      <c r="C8" s="3"/>
      <c r="D8" s="3" t="s">
        <v>74</v>
      </c>
      <c r="E8" s="3" t="s">
        <v>68</v>
      </c>
      <c r="F8" s="3"/>
      <c r="G8" s="3" t="s">
        <v>76</v>
      </c>
      <c r="H8" s="21">
        <v>2.5</v>
      </c>
      <c r="I8" s="22">
        <f t="shared" si="0"/>
        <v>187.5</v>
      </c>
      <c r="J8" s="3" t="s">
        <v>82</v>
      </c>
      <c r="K8" s="3">
        <f t="shared" si="1"/>
        <v>3</v>
      </c>
      <c r="L8" s="3" t="s">
        <v>85</v>
      </c>
      <c r="M8" s="3" t="s">
        <v>88</v>
      </c>
      <c r="N8" s="3"/>
      <c r="O8" s="3" t="s">
        <v>90</v>
      </c>
      <c r="P8" s="3" t="s">
        <v>92</v>
      </c>
      <c r="Q8" s="3" t="s">
        <v>91</v>
      </c>
      <c r="R8" s="3" t="s">
        <v>94</v>
      </c>
      <c r="S8" s="6" t="s">
        <v>95</v>
      </c>
      <c r="T8" s="3" t="s">
        <v>120</v>
      </c>
      <c r="U8" s="6" t="s">
        <v>96</v>
      </c>
      <c r="V8" s="23">
        <v>46078</v>
      </c>
      <c r="W8" s="23">
        <v>46212</v>
      </c>
      <c r="X8" s="23" t="s">
        <v>101</v>
      </c>
      <c r="Y8" s="100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>
        <v>15</v>
      </c>
      <c r="AY8" s="24">
        <v>15</v>
      </c>
      <c r="AZ8" s="24">
        <v>15</v>
      </c>
      <c r="BA8" s="24">
        <v>15</v>
      </c>
      <c r="BB8" s="24">
        <v>15</v>
      </c>
      <c r="BC8" s="24">
        <v>15</v>
      </c>
      <c r="BD8" s="24">
        <v>15</v>
      </c>
      <c r="BE8" s="24">
        <v>15</v>
      </c>
      <c r="BF8" s="24">
        <v>15</v>
      </c>
      <c r="BG8" s="24">
        <v>15</v>
      </c>
      <c r="BH8" s="24">
        <v>15</v>
      </c>
      <c r="BI8" s="24">
        <v>15</v>
      </c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</row>
    <row r="9" spans="1:90" ht="18">
      <c r="A9" s="6" t="s">
        <v>99</v>
      </c>
      <c r="B9" s="7" t="s">
        <v>28</v>
      </c>
      <c r="C9" s="3"/>
      <c r="D9" s="3" t="s">
        <v>74</v>
      </c>
      <c r="E9" s="3" t="s">
        <v>68</v>
      </c>
      <c r="F9" s="3"/>
      <c r="G9" s="3" t="s">
        <v>76</v>
      </c>
      <c r="H9" s="21">
        <v>3</v>
      </c>
      <c r="I9" s="22">
        <f t="shared" si="0"/>
        <v>225</v>
      </c>
      <c r="J9" s="3" t="s">
        <v>82</v>
      </c>
      <c r="K9" s="3">
        <v>4</v>
      </c>
      <c r="L9" s="3" t="s">
        <v>85</v>
      </c>
      <c r="M9" s="3" t="s">
        <v>88</v>
      </c>
      <c r="N9" s="3"/>
      <c r="O9" s="3" t="s">
        <v>90</v>
      </c>
      <c r="P9" s="3" t="s">
        <v>92</v>
      </c>
      <c r="Q9" s="3" t="s">
        <v>91</v>
      </c>
      <c r="R9" s="3" t="s">
        <v>94</v>
      </c>
      <c r="S9" s="6" t="s">
        <v>95</v>
      </c>
      <c r="T9" s="3" t="s">
        <v>120</v>
      </c>
      <c r="U9" s="6" t="s">
        <v>96</v>
      </c>
      <c r="V9" s="23">
        <v>46075</v>
      </c>
      <c r="W9" s="23">
        <v>46212</v>
      </c>
      <c r="X9" s="23" t="s">
        <v>101</v>
      </c>
      <c r="Y9" s="100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>
        <v>20</v>
      </c>
      <c r="AY9" s="24">
        <v>20</v>
      </c>
      <c r="AZ9" s="24">
        <v>20</v>
      </c>
      <c r="BA9" s="24">
        <v>20</v>
      </c>
      <c r="BB9" s="24">
        <v>20</v>
      </c>
      <c r="BC9" s="24">
        <v>20</v>
      </c>
      <c r="BD9" s="24">
        <v>20</v>
      </c>
      <c r="BE9" s="24">
        <v>20</v>
      </c>
      <c r="BF9" s="24">
        <v>20</v>
      </c>
      <c r="BG9" s="24">
        <v>20</v>
      </c>
      <c r="BH9" s="24">
        <v>10</v>
      </c>
      <c r="BI9" s="24">
        <v>10</v>
      </c>
      <c r="BJ9" s="24">
        <v>5</v>
      </c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</row>
    <row r="10" spans="1:90" ht="18">
      <c r="A10" s="6" t="s">
        <v>99</v>
      </c>
      <c r="B10" s="7" t="s">
        <v>29</v>
      </c>
      <c r="C10" s="3"/>
      <c r="D10" s="3" t="s">
        <v>74</v>
      </c>
      <c r="E10" s="3" t="s">
        <v>68</v>
      </c>
      <c r="F10" s="3"/>
      <c r="G10" s="3" t="s">
        <v>76</v>
      </c>
      <c r="H10" s="21">
        <v>3</v>
      </c>
      <c r="I10" s="22">
        <f t="shared" si="0"/>
        <v>225</v>
      </c>
      <c r="J10" s="3" t="s">
        <v>82</v>
      </c>
      <c r="K10" s="3">
        <v>4</v>
      </c>
      <c r="L10" s="3" t="s">
        <v>86</v>
      </c>
      <c r="M10" s="3" t="s">
        <v>88</v>
      </c>
      <c r="N10" s="3"/>
      <c r="O10" s="3" t="s">
        <v>90</v>
      </c>
      <c r="P10" s="3" t="s">
        <v>92</v>
      </c>
      <c r="Q10" s="3" t="s">
        <v>91</v>
      </c>
      <c r="R10" s="3" t="s">
        <v>94</v>
      </c>
      <c r="S10" s="6" t="s">
        <v>95</v>
      </c>
      <c r="T10" s="3" t="s">
        <v>120</v>
      </c>
      <c r="U10" s="6" t="s">
        <v>96</v>
      </c>
      <c r="V10" s="23">
        <v>46082</v>
      </c>
      <c r="W10" s="23">
        <v>46213</v>
      </c>
      <c r="X10" s="23" t="s">
        <v>101</v>
      </c>
      <c r="Y10" s="100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>
        <v>20</v>
      </c>
      <c r="BH10" s="24">
        <v>20</v>
      </c>
      <c r="BI10" s="24">
        <v>20</v>
      </c>
      <c r="BJ10" s="24">
        <v>20</v>
      </c>
      <c r="BK10" s="24">
        <v>20</v>
      </c>
      <c r="BL10" s="24">
        <v>20</v>
      </c>
      <c r="BM10" s="24">
        <v>20</v>
      </c>
      <c r="BN10" s="24">
        <v>20</v>
      </c>
      <c r="BO10" s="24">
        <v>20</v>
      </c>
      <c r="BP10" s="24">
        <v>15</v>
      </c>
      <c r="BQ10" s="24">
        <v>15</v>
      </c>
      <c r="BR10" s="24">
        <v>10</v>
      </c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</row>
    <row r="11" spans="1:90" ht="18">
      <c r="A11" s="6" t="s">
        <v>99</v>
      </c>
      <c r="B11" s="7" t="s">
        <v>77</v>
      </c>
      <c r="C11" s="3"/>
      <c r="D11" s="3" t="s">
        <v>74</v>
      </c>
      <c r="E11" s="3" t="s">
        <v>122</v>
      </c>
      <c r="F11" s="3"/>
      <c r="G11" s="3" t="s">
        <v>76</v>
      </c>
      <c r="H11" s="21">
        <v>2</v>
      </c>
      <c r="I11" s="22">
        <f t="shared" si="0"/>
        <v>150</v>
      </c>
      <c r="J11" s="3" t="s">
        <v>84</v>
      </c>
      <c r="K11" s="3">
        <v>3</v>
      </c>
      <c r="L11" s="3" t="s">
        <v>85</v>
      </c>
      <c r="M11" s="3" t="s">
        <v>88</v>
      </c>
      <c r="N11" s="3"/>
      <c r="O11" s="3" t="s">
        <v>90</v>
      </c>
      <c r="P11" s="3" t="s">
        <v>92</v>
      </c>
      <c r="Q11" s="3" t="s">
        <v>91</v>
      </c>
      <c r="R11" s="3" t="s">
        <v>94</v>
      </c>
      <c r="S11" s="6" t="s">
        <v>95</v>
      </c>
      <c r="T11" s="3" t="s">
        <v>120</v>
      </c>
      <c r="U11" s="6" t="s">
        <v>96</v>
      </c>
      <c r="V11" s="23">
        <v>46082</v>
      </c>
      <c r="W11" s="23">
        <v>46206</v>
      </c>
      <c r="X11" s="23" t="s">
        <v>101</v>
      </c>
      <c r="Y11" s="100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/>
      <c r="AK11" s="24"/>
      <c r="AL11" s="24"/>
      <c r="AM11" s="24"/>
      <c r="AN11" s="24"/>
      <c r="AO11" s="24"/>
      <c r="AP11" s="24"/>
      <c r="AQ11" s="24"/>
      <c r="AR11" s="24">
        <v>15</v>
      </c>
      <c r="AS11" s="24">
        <v>15</v>
      </c>
      <c r="AT11" s="24">
        <v>15</v>
      </c>
      <c r="AU11" s="24">
        <v>15</v>
      </c>
      <c r="AV11" s="24">
        <v>15</v>
      </c>
      <c r="AW11" s="24">
        <v>15</v>
      </c>
      <c r="AX11" s="24">
        <v>15</v>
      </c>
      <c r="AY11" s="24">
        <v>15</v>
      </c>
      <c r="AZ11" s="24">
        <v>15</v>
      </c>
      <c r="BA11" s="24">
        <v>15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</row>
    <row r="12" spans="1:90" ht="18">
      <c r="A12" s="6" t="s">
        <v>99</v>
      </c>
      <c r="B12" s="7" t="s">
        <v>26</v>
      </c>
      <c r="C12" s="3"/>
      <c r="D12" s="3" t="s">
        <v>74</v>
      </c>
      <c r="E12" s="3" t="s">
        <v>68</v>
      </c>
      <c r="F12" s="3"/>
      <c r="G12" s="3" t="s">
        <v>76</v>
      </c>
      <c r="H12" s="21">
        <v>5</v>
      </c>
      <c r="I12" s="22">
        <f t="shared" ref="I12" si="2">H12*75</f>
        <v>375</v>
      </c>
      <c r="J12" s="3" t="s">
        <v>82</v>
      </c>
      <c r="K12" s="3">
        <f t="shared" ref="K12" si="3">H12*1.2</f>
        <v>6</v>
      </c>
      <c r="L12" s="3" t="s">
        <v>85</v>
      </c>
      <c r="M12" s="3" t="s">
        <v>88</v>
      </c>
      <c r="N12" s="3"/>
      <c r="O12" s="3" t="s">
        <v>90</v>
      </c>
      <c r="P12" s="3" t="s">
        <v>92</v>
      </c>
      <c r="Q12" s="3" t="s">
        <v>91</v>
      </c>
      <c r="R12" s="3" t="s">
        <v>94</v>
      </c>
      <c r="S12" s="6" t="s">
        <v>95</v>
      </c>
      <c r="T12" s="3" t="s">
        <v>120</v>
      </c>
      <c r="U12" s="6" t="s">
        <v>96</v>
      </c>
      <c r="V12" s="23">
        <v>46091</v>
      </c>
      <c r="W12" s="23">
        <v>46221</v>
      </c>
      <c r="X12" s="23" t="s">
        <v>101</v>
      </c>
      <c r="Y12" s="100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</row>
    <row r="13" spans="1:90" ht="18">
      <c r="A13" s="6" t="s">
        <v>99</v>
      </c>
      <c r="B13" s="7" t="s">
        <v>30</v>
      </c>
      <c r="C13" s="3"/>
      <c r="D13" s="3" t="s">
        <v>74</v>
      </c>
      <c r="E13" s="3" t="s">
        <v>68</v>
      </c>
      <c r="F13" s="3"/>
      <c r="G13" s="3" t="s">
        <v>76</v>
      </c>
      <c r="H13" s="21">
        <v>2</v>
      </c>
      <c r="I13" s="22">
        <f t="shared" si="0"/>
        <v>150</v>
      </c>
      <c r="J13" s="3" t="s">
        <v>84</v>
      </c>
      <c r="K13" s="3">
        <v>3</v>
      </c>
      <c r="L13" s="3" t="s">
        <v>85</v>
      </c>
      <c r="M13" s="3" t="s">
        <v>88</v>
      </c>
      <c r="N13" s="3"/>
      <c r="O13" s="3" t="s">
        <v>90</v>
      </c>
      <c r="P13" s="3" t="s">
        <v>92</v>
      </c>
      <c r="Q13" s="3" t="s">
        <v>91</v>
      </c>
      <c r="R13" s="3" t="s">
        <v>94</v>
      </c>
      <c r="S13" s="6" t="s">
        <v>95</v>
      </c>
      <c r="T13" s="3" t="s">
        <v>120</v>
      </c>
      <c r="U13" s="6" t="s">
        <v>96</v>
      </c>
      <c r="V13" s="23">
        <v>46091</v>
      </c>
      <c r="W13" s="23">
        <v>907</v>
      </c>
      <c r="X13" s="23" t="s">
        <v>102</v>
      </c>
      <c r="Y13" s="100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>
        <v>15</v>
      </c>
      <c r="AY13" s="24">
        <v>15</v>
      </c>
      <c r="AZ13" s="24">
        <v>15</v>
      </c>
      <c r="BA13" s="24">
        <v>15</v>
      </c>
      <c r="BB13" s="24">
        <v>15</v>
      </c>
      <c r="BC13" s="24">
        <v>15</v>
      </c>
      <c r="BD13" s="24">
        <v>15</v>
      </c>
      <c r="BE13" s="24">
        <v>15</v>
      </c>
      <c r="BF13" s="24">
        <v>15</v>
      </c>
      <c r="BG13" s="24">
        <v>15</v>
      </c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</row>
    <row r="14" spans="1:90" ht="18">
      <c r="A14" s="6" t="s">
        <v>99</v>
      </c>
      <c r="B14" s="7" t="s">
        <v>31</v>
      </c>
      <c r="C14" s="3"/>
      <c r="D14" s="3" t="s">
        <v>74</v>
      </c>
      <c r="E14" s="3" t="s">
        <v>68</v>
      </c>
      <c r="F14" s="3"/>
      <c r="G14" s="3" t="s">
        <v>76</v>
      </c>
      <c r="H14" s="21">
        <v>2</v>
      </c>
      <c r="I14" s="22">
        <f t="shared" si="0"/>
        <v>150</v>
      </c>
      <c r="J14" s="3" t="s">
        <v>84</v>
      </c>
      <c r="K14" s="3">
        <v>4</v>
      </c>
      <c r="L14" s="3" t="s">
        <v>85</v>
      </c>
      <c r="M14" s="3" t="s">
        <v>88</v>
      </c>
      <c r="N14" s="3"/>
      <c r="O14" s="3" t="s">
        <v>90</v>
      </c>
      <c r="P14" s="3" t="s">
        <v>92</v>
      </c>
      <c r="Q14" s="3" t="s">
        <v>91</v>
      </c>
      <c r="R14" s="3" t="s">
        <v>94</v>
      </c>
      <c r="S14" s="6" t="s">
        <v>95</v>
      </c>
      <c r="T14" s="3" t="s">
        <v>120</v>
      </c>
      <c r="U14" s="6" t="s">
        <v>96</v>
      </c>
      <c r="V14" s="23">
        <v>46078</v>
      </c>
      <c r="W14" s="23">
        <v>907</v>
      </c>
      <c r="X14" s="23" t="s">
        <v>101</v>
      </c>
      <c r="Y14" s="100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>
        <v>15</v>
      </c>
      <c r="AY14" s="24">
        <v>15</v>
      </c>
      <c r="AZ14" s="24">
        <v>15</v>
      </c>
      <c r="BA14" s="24">
        <v>15</v>
      </c>
      <c r="BB14" s="24">
        <v>15</v>
      </c>
      <c r="BC14" s="24">
        <v>15</v>
      </c>
      <c r="BD14" s="24">
        <v>15</v>
      </c>
      <c r="BE14" s="24">
        <v>15</v>
      </c>
      <c r="BF14" s="24">
        <v>15</v>
      </c>
      <c r="BG14" s="24">
        <v>15</v>
      </c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</row>
    <row r="15" spans="1:90" ht="18">
      <c r="A15" s="6" t="s">
        <v>99</v>
      </c>
      <c r="B15" s="7" t="s">
        <v>32</v>
      </c>
      <c r="C15" s="3"/>
      <c r="D15" s="3" t="s">
        <v>74</v>
      </c>
      <c r="E15" s="3" t="s">
        <v>68</v>
      </c>
      <c r="F15" s="3"/>
      <c r="G15" s="3" t="s">
        <v>76</v>
      </c>
      <c r="H15" s="21">
        <v>2</v>
      </c>
      <c r="I15" s="22">
        <f t="shared" si="0"/>
        <v>150</v>
      </c>
      <c r="J15" s="3" t="s">
        <v>84</v>
      </c>
      <c r="K15" s="3">
        <v>5</v>
      </c>
      <c r="L15" s="3" t="s">
        <v>86</v>
      </c>
      <c r="M15" s="3" t="s">
        <v>88</v>
      </c>
      <c r="N15" s="3"/>
      <c r="O15" s="3" t="s">
        <v>90</v>
      </c>
      <c r="P15" s="3" t="s">
        <v>92</v>
      </c>
      <c r="Q15" s="3" t="s">
        <v>91</v>
      </c>
      <c r="R15" s="3" t="s">
        <v>94</v>
      </c>
      <c r="S15" s="6" t="s">
        <v>95</v>
      </c>
      <c r="T15" s="3" t="s">
        <v>120</v>
      </c>
      <c r="U15" s="6" t="s">
        <v>96</v>
      </c>
      <c r="V15" s="23">
        <v>46106</v>
      </c>
      <c r="W15" s="23">
        <v>46231</v>
      </c>
      <c r="X15" s="23" t="s">
        <v>101</v>
      </c>
      <c r="Y15" s="100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>
        <v>15</v>
      </c>
      <c r="BR15" s="24">
        <v>15</v>
      </c>
      <c r="BS15" s="24">
        <v>15</v>
      </c>
      <c r="BT15" s="24">
        <v>15</v>
      </c>
      <c r="BU15" s="24">
        <v>15</v>
      </c>
      <c r="BV15" s="24">
        <v>15</v>
      </c>
      <c r="BW15" s="24">
        <v>15</v>
      </c>
      <c r="BX15" s="24">
        <v>15</v>
      </c>
      <c r="BY15" s="24">
        <v>15</v>
      </c>
      <c r="BZ15" s="24">
        <v>15</v>
      </c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</row>
    <row r="16" spans="1:90" ht="18">
      <c r="A16" s="6" t="s">
        <v>99</v>
      </c>
      <c r="B16" s="7" t="s">
        <v>116</v>
      </c>
      <c r="C16" s="3"/>
      <c r="D16" s="3" t="s">
        <v>74</v>
      </c>
      <c r="E16" s="3" t="s">
        <v>68</v>
      </c>
      <c r="F16" s="3"/>
      <c r="G16" s="3" t="s">
        <v>76</v>
      </c>
      <c r="H16" s="21">
        <v>1.6</v>
      </c>
      <c r="I16" s="22">
        <f t="shared" si="0"/>
        <v>120</v>
      </c>
      <c r="J16" s="3" t="s">
        <v>84</v>
      </c>
      <c r="K16" s="3">
        <v>3</v>
      </c>
      <c r="L16" s="3" t="s">
        <v>85</v>
      </c>
      <c r="M16" s="3" t="s">
        <v>88</v>
      </c>
      <c r="N16" s="3"/>
      <c r="O16" s="3" t="s">
        <v>90</v>
      </c>
      <c r="P16" s="3" t="s">
        <v>92</v>
      </c>
      <c r="Q16" s="3" t="s">
        <v>91</v>
      </c>
      <c r="R16" s="3" t="s">
        <v>94</v>
      </c>
      <c r="S16" s="6" t="s">
        <v>95</v>
      </c>
      <c r="T16" s="3" t="s">
        <v>120</v>
      </c>
      <c r="U16" s="6" t="s">
        <v>96</v>
      </c>
      <c r="V16" s="23">
        <v>46091</v>
      </c>
      <c r="W16" s="23">
        <v>46226</v>
      </c>
      <c r="X16" s="23" t="s">
        <v>101</v>
      </c>
      <c r="Y16" s="100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>
        <v>15</v>
      </c>
      <c r="BM16" s="24">
        <v>15</v>
      </c>
      <c r="BN16" s="24">
        <v>15</v>
      </c>
      <c r="BO16" s="24">
        <v>15</v>
      </c>
      <c r="BP16" s="24">
        <v>15</v>
      </c>
      <c r="BQ16" s="24">
        <v>15</v>
      </c>
      <c r="BR16" s="24">
        <v>15</v>
      </c>
      <c r="BS16" s="24">
        <v>15</v>
      </c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</row>
    <row r="17" spans="1:91" s="5" customFormat="1" ht="18">
      <c r="A17" s="26" t="s">
        <v>99</v>
      </c>
      <c r="B17" s="27" t="s">
        <v>117</v>
      </c>
      <c r="C17" s="28"/>
      <c r="D17" s="28" t="s">
        <v>74</v>
      </c>
      <c r="E17" s="28" t="s">
        <v>68</v>
      </c>
      <c r="F17" s="28"/>
      <c r="G17" s="28" t="s">
        <v>76</v>
      </c>
      <c r="H17" s="29">
        <v>1</v>
      </c>
      <c r="I17" s="30">
        <f t="shared" si="0"/>
        <v>75</v>
      </c>
      <c r="J17" s="28" t="s">
        <v>82</v>
      </c>
      <c r="K17" s="28">
        <v>2</v>
      </c>
      <c r="L17" s="28" t="s">
        <v>85</v>
      </c>
      <c r="M17" s="28" t="s">
        <v>88</v>
      </c>
      <c r="N17" s="28"/>
      <c r="O17" s="28" t="s">
        <v>90</v>
      </c>
      <c r="P17" s="28" t="s">
        <v>92</v>
      </c>
      <c r="Q17" s="28" t="s">
        <v>91</v>
      </c>
      <c r="R17" s="28" t="s">
        <v>94</v>
      </c>
      <c r="S17" s="6" t="s">
        <v>95</v>
      </c>
      <c r="T17" s="3" t="s">
        <v>120</v>
      </c>
      <c r="U17" s="26" t="s">
        <v>96</v>
      </c>
      <c r="V17" s="31">
        <v>46082</v>
      </c>
      <c r="W17" s="31">
        <v>2007</v>
      </c>
      <c r="X17" s="23" t="s">
        <v>101</v>
      </c>
      <c r="Y17" s="100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>
        <v>15</v>
      </c>
      <c r="BH17" s="32">
        <v>10</v>
      </c>
      <c r="BI17" s="32">
        <v>10</v>
      </c>
      <c r="BJ17" s="32">
        <v>10</v>
      </c>
      <c r="BK17" s="32">
        <v>10</v>
      </c>
      <c r="BL17" s="32">
        <v>10</v>
      </c>
      <c r="BM17" s="32">
        <v>10</v>
      </c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/>
    </row>
    <row r="18" spans="1:91" ht="18">
      <c r="A18" s="6" t="s">
        <v>99</v>
      </c>
      <c r="B18" s="7" t="s">
        <v>33</v>
      </c>
      <c r="C18" s="3"/>
      <c r="D18" s="3" t="s">
        <v>74</v>
      </c>
      <c r="E18" s="3" t="s">
        <v>68</v>
      </c>
      <c r="F18" s="3"/>
      <c r="G18" s="3" t="s">
        <v>76</v>
      </c>
      <c r="H18" s="21">
        <v>2.5</v>
      </c>
      <c r="I18" s="22">
        <f t="shared" si="0"/>
        <v>187.5</v>
      </c>
      <c r="J18" s="3" t="s">
        <v>82</v>
      </c>
      <c r="K18" s="3">
        <f t="shared" si="1"/>
        <v>3</v>
      </c>
      <c r="L18" s="3" t="s">
        <v>86</v>
      </c>
      <c r="M18" s="3" t="s">
        <v>88</v>
      </c>
      <c r="N18" s="3"/>
      <c r="O18" s="3" t="s">
        <v>90</v>
      </c>
      <c r="P18" s="3" t="s">
        <v>92</v>
      </c>
      <c r="Q18" s="3" t="s">
        <v>91</v>
      </c>
      <c r="R18" s="3" t="s">
        <v>94</v>
      </c>
      <c r="S18" s="6" t="s">
        <v>95</v>
      </c>
      <c r="T18" s="3" t="s">
        <v>120</v>
      </c>
      <c r="U18" s="6" t="s">
        <v>96</v>
      </c>
      <c r="V18" s="23">
        <v>46101</v>
      </c>
      <c r="W18" s="23">
        <v>46231</v>
      </c>
      <c r="X18" s="23" t="s">
        <v>103</v>
      </c>
      <c r="Y18" s="100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>
        <v>20</v>
      </c>
      <c r="BR18" s="24">
        <v>20</v>
      </c>
      <c r="BS18" s="24">
        <v>20</v>
      </c>
      <c r="BT18" s="24">
        <v>20</v>
      </c>
      <c r="BU18" s="24">
        <v>20</v>
      </c>
      <c r="BV18" s="24">
        <v>20</v>
      </c>
      <c r="BW18" s="24">
        <v>20</v>
      </c>
      <c r="BX18" s="24">
        <v>20</v>
      </c>
      <c r="BY18" s="24">
        <v>20</v>
      </c>
      <c r="BZ18" s="24">
        <v>10</v>
      </c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</row>
    <row r="19" spans="1:91" ht="18">
      <c r="A19" s="6" t="s">
        <v>99</v>
      </c>
      <c r="B19" s="7" t="s">
        <v>34</v>
      </c>
      <c r="C19" s="3"/>
      <c r="D19" s="3" t="s">
        <v>74</v>
      </c>
      <c r="E19" s="3" t="s">
        <v>68</v>
      </c>
      <c r="F19" s="3"/>
      <c r="G19" s="3" t="s">
        <v>76</v>
      </c>
      <c r="H19" s="21">
        <v>2.5</v>
      </c>
      <c r="I19" s="22">
        <f t="shared" si="0"/>
        <v>187.5</v>
      </c>
      <c r="J19" s="3" t="s">
        <v>82</v>
      </c>
      <c r="K19" s="3">
        <f t="shared" si="1"/>
        <v>3</v>
      </c>
      <c r="L19" s="3" t="s">
        <v>86</v>
      </c>
      <c r="M19" s="3" t="s">
        <v>88</v>
      </c>
      <c r="N19" s="3"/>
      <c r="O19" s="3" t="s">
        <v>90</v>
      </c>
      <c r="P19" s="3" t="s">
        <v>92</v>
      </c>
      <c r="Q19" s="3" t="s">
        <v>91</v>
      </c>
      <c r="R19" s="3" t="s">
        <v>94</v>
      </c>
      <c r="S19" s="6" t="s">
        <v>95</v>
      </c>
      <c r="T19" s="3" t="s">
        <v>120</v>
      </c>
      <c r="U19" s="6" t="s">
        <v>96</v>
      </c>
      <c r="V19" s="23">
        <v>46101</v>
      </c>
      <c r="W19" s="23">
        <v>46231</v>
      </c>
      <c r="X19" s="23" t="s">
        <v>363</v>
      </c>
      <c r="Y19" s="100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>
        <v>20</v>
      </c>
      <c r="BR19" s="24">
        <v>20</v>
      </c>
      <c r="BS19" s="24">
        <v>20</v>
      </c>
      <c r="BT19" s="24">
        <v>20</v>
      </c>
      <c r="BU19" s="24">
        <v>20</v>
      </c>
      <c r="BV19" s="24">
        <v>20</v>
      </c>
      <c r="BW19" s="24">
        <v>20</v>
      </c>
      <c r="BX19" s="24">
        <v>20</v>
      </c>
      <c r="BY19" s="24">
        <v>20</v>
      </c>
      <c r="BZ19" s="24">
        <v>10</v>
      </c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</row>
    <row r="20" spans="1:91" ht="18">
      <c r="A20" s="6" t="s">
        <v>99</v>
      </c>
      <c r="B20" s="7" t="s">
        <v>35</v>
      </c>
      <c r="C20" s="3"/>
      <c r="D20" s="3" t="s">
        <v>74</v>
      </c>
      <c r="E20" s="3" t="s">
        <v>68</v>
      </c>
      <c r="F20" s="3"/>
      <c r="G20" s="3" t="s">
        <v>76</v>
      </c>
      <c r="H20" s="21">
        <v>1.5</v>
      </c>
      <c r="I20" s="22">
        <f t="shared" si="0"/>
        <v>112.5</v>
      </c>
      <c r="J20" s="3" t="s">
        <v>84</v>
      </c>
      <c r="K20" s="3">
        <v>2.5</v>
      </c>
      <c r="L20" s="3" t="s">
        <v>85</v>
      </c>
      <c r="M20" s="3" t="s">
        <v>88</v>
      </c>
      <c r="N20" s="3"/>
      <c r="O20" s="3" t="s">
        <v>90</v>
      </c>
      <c r="P20" s="3" t="s">
        <v>92</v>
      </c>
      <c r="Q20" s="3" t="s">
        <v>91</v>
      </c>
      <c r="R20" s="3" t="s">
        <v>94</v>
      </c>
      <c r="S20" s="6" t="s">
        <v>95</v>
      </c>
      <c r="T20" s="3" t="s">
        <v>120</v>
      </c>
      <c r="U20" s="6" t="s">
        <v>96</v>
      </c>
      <c r="V20" s="23">
        <v>46086</v>
      </c>
      <c r="W20" s="23">
        <v>46216</v>
      </c>
      <c r="X20" s="23" t="s">
        <v>103</v>
      </c>
      <c r="Y20" s="100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>
        <v>15</v>
      </c>
      <c r="BC20" s="24">
        <v>15</v>
      </c>
      <c r="BD20" s="24">
        <v>15</v>
      </c>
      <c r="BE20" s="24">
        <v>15</v>
      </c>
      <c r="BF20" s="24">
        <v>15</v>
      </c>
      <c r="BG20" s="24">
        <v>15</v>
      </c>
      <c r="BH20" s="24">
        <v>15</v>
      </c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</row>
    <row r="21" spans="1:91" ht="18">
      <c r="A21" s="6" t="s">
        <v>99</v>
      </c>
      <c r="B21" s="7" t="s">
        <v>36</v>
      </c>
      <c r="C21" s="3"/>
      <c r="D21" s="3" t="s">
        <v>74</v>
      </c>
      <c r="E21" s="3" t="s">
        <v>68</v>
      </c>
      <c r="F21" s="3"/>
      <c r="G21" s="3" t="s">
        <v>76</v>
      </c>
      <c r="H21" s="21">
        <v>3</v>
      </c>
      <c r="I21" s="22">
        <f t="shared" si="0"/>
        <v>225</v>
      </c>
      <c r="J21" s="3" t="s">
        <v>82</v>
      </c>
      <c r="K21" s="3">
        <v>4</v>
      </c>
      <c r="L21" s="3" t="s">
        <v>85</v>
      </c>
      <c r="M21" s="3" t="s">
        <v>88</v>
      </c>
      <c r="N21" s="3"/>
      <c r="O21" s="3" t="s">
        <v>90</v>
      </c>
      <c r="P21" s="3" t="s">
        <v>92</v>
      </c>
      <c r="Q21" s="3" t="s">
        <v>91</v>
      </c>
      <c r="R21" s="3" t="s">
        <v>94</v>
      </c>
      <c r="S21" s="6" t="s">
        <v>95</v>
      </c>
      <c r="T21" s="3" t="s">
        <v>120</v>
      </c>
      <c r="U21" s="6" t="s">
        <v>96</v>
      </c>
      <c r="V21" s="23">
        <v>46096</v>
      </c>
      <c r="W21" s="23">
        <v>46226</v>
      </c>
      <c r="X21" s="23" t="s">
        <v>101</v>
      </c>
      <c r="Y21" s="100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>
        <v>20</v>
      </c>
      <c r="BM21" s="24">
        <v>20</v>
      </c>
      <c r="BN21" s="24">
        <v>20</v>
      </c>
      <c r="BO21" s="24">
        <v>20</v>
      </c>
      <c r="BP21" s="24">
        <v>20</v>
      </c>
      <c r="BQ21" s="24">
        <v>20</v>
      </c>
      <c r="BR21" s="24">
        <v>20</v>
      </c>
      <c r="BS21" s="24">
        <v>20</v>
      </c>
      <c r="BT21" s="24">
        <v>20</v>
      </c>
      <c r="BU21" s="24">
        <v>20</v>
      </c>
      <c r="BV21" s="24">
        <v>15</v>
      </c>
      <c r="BW21" s="24">
        <v>10</v>
      </c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</row>
    <row r="22" spans="1:91" ht="18">
      <c r="A22" s="6" t="s">
        <v>99</v>
      </c>
      <c r="B22" s="7" t="s">
        <v>37</v>
      </c>
      <c r="C22" s="3"/>
      <c r="D22" s="3" t="s">
        <v>74</v>
      </c>
      <c r="E22" s="3" t="s">
        <v>68</v>
      </c>
      <c r="F22" s="3"/>
      <c r="G22" s="3" t="s">
        <v>76</v>
      </c>
      <c r="H22" s="21">
        <v>4</v>
      </c>
      <c r="I22" s="22">
        <f t="shared" si="0"/>
        <v>300</v>
      </c>
      <c r="J22" s="3" t="s">
        <v>82</v>
      </c>
      <c r="K22" s="3">
        <v>6</v>
      </c>
      <c r="L22" s="3" t="s">
        <v>85</v>
      </c>
      <c r="M22" s="3" t="s">
        <v>88</v>
      </c>
      <c r="N22" s="3"/>
      <c r="O22" s="3" t="s">
        <v>90</v>
      </c>
      <c r="P22" s="3" t="s">
        <v>92</v>
      </c>
      <c r="Q22" s="3" t="s">
        <v>91</v>
      </c>
      <c r="R22" s="3" t="s">
        <v>94</v>
      </c>
      <c r="S22" s="6" t="s">
        <v>95</v>
      </c>
      <c r="T22" s="3" t="s">
        <v>120</v>
      </c>
      <c r="U22" s="6" t="s">
        <v>96</v>
      </c>
      <c r="V22" s="23">
        <v>46073</v>
      </c>
      <c r="W22" s="23">
        <v>46212</v>
      </c>
      <c r="X22" s="23" t="s">
        <v>101</v>
      </c>
      <c r="Y22" s="100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>
        <v>20</v>
      </c>
      <c r="AY22" s="24">
        <v>20</v>
      </c>
      <c r="AZ22" s="24">
        <v>20</v>
      </c>
      <c r="BA22" s="24">
        <v>20</v>
      </c>
      <c r="BB22" s="24">
        <v>20</v>
      </c>
      <c r="BC22" s="24">
        <v>20</v>
      </c>
      <c r="BD22" s="24">
        <v>20</v>
      </c>
      <c r="BE22" s="24">
        <v>20</v>
      </c>
      <c r="BF22" s="24">
        <v>20</v>
      </c>
      <c r="BG22" s="24">
        <v>20</v>
      </c>
      <c r="BH22" s="24">
        <v>20</v>
      </c>
      <c r="BI22" s="24">
        <v>20</v>
      </c>
      <c r="BJ22" s="24">
        <v>20</v>
      </c>
      <c r="BK22" s="24">
        <v>20</v>
      </c>
      <c r="BL22" s="24">
        <v>20</v>
      </c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</row>
    <row r="23" spans="1:91" ht="18">
      <c r="A23" s="6" t="s">
        <v>99</v>
      </c>
      <c r="B23" s="7" t="s">
        <v>38</v>
      </c>
      <c r="C23" s="6"/>
      <c r="D23" s="6" t="s">
        <v>74</v>
      </c>
      <c r="E23" s="6" t="s">
        <v>68</v>
      </c>
      <c r="F23" s="6"/>
      <c r="G23" s="6" t="s">
        <v>76</v>
      </c>
      <c r="H23" s="21">
        <v>3</v>
      </c>
      <c r="I23" s="22">
        <f t="shared" si="0"/>
        <v>225</v>
      </c>
      <c r="J23" s="6" t="s">
        <v>82</v>
      </c>
      <c r="K23" s="6">
        <v>2.5</v>
      </c>
      <c r="L23" s="6" t="s">
        <v>85</v>
      </c>
      <c r="M23" s="6" t="s">
        <v>88</v>
      </c>
      <c r="N23" s="6"/>
      <c r="O23" s="6" t="s">
        <v>90</v>
      </c>
      <c r="P23" s="6" t="s">
        <v>92</v>
      </c>
      <c r="Q23" s="6" t="s">
        <v>91</v>
      </c>
      <c r="R23" s="6" t="s">
        <v>94</v>
      </c>
      <c r="S23" s="6" t="s">
        <v>95</v>
      </c>
      <c r="T23" s="3" t="s">
        <v>120</v>
      </c>
      <c r="U23" s="6" t="s">
        <v>96</v>
      </c>
      <c r="V23" s="23">
        <v>46078</v>
      </c>
      <c r="W23" s="23">
        <v>46213</v>
      </c>
      <c r="X23" s="23" t="s">
        <v>102</v>
      </c>
      <c r="Y23" s="100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>
        <v>20</v>
      </c>
      <c r="AY23" s="24">
        <v>20</v>
      </c>
      <c r="AZ23" s="24">
        <v>20</v>
      </c>
      <c r="BA23" s="24">
        <v>20</v>
      </c>
      <c r="BB23" s="24">
        <v>20</v>
      </c>
      <c r="BC23" s="24">
        <v>20</v>
      </c>
      <c r="BD23" s="24">
        <v>20</v>
      </c>
      <c r="BE23" s="24">
        <v>20</v>
      </c>
      <c r="BF23" s="24">
        <v>20</v>
      </c>
      <c r="BG23" s="24">
        <v>20</v>
      </c>
      <c r="BH23" s="24">
        <v>15</v>
      </c>
      <c r="BI23" s="24">
        <v>10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</row>
    <row r="24" spans="1:91" ht="18">
      <c r="A24" s="6" t="s">
        <v>99</v>
      </c>
      <c r="B24" s="7" t="s">
        <v>39</v>
      </c>
      <c r="C24" s="6"/>
      <c r="D24" s="6" t="s">
        <v>74</v>
      </c>
      <c r="E24" s="6" t="s">
        <v>68</v>
      </c>
      <c r="F24" s="6"/>
      <c r="G24" s="6" t="s">
        <v>76</v>
      </c>
      <c r="H24" s="21">
        <v>1.5</v>
      </c>
      <c r="I24" s="22">
        <f t="shared" si="0"/>
        <v>112.5</v>
      </c>
      <c r="J24" s="6" t="s">
        <v>82</v>
      </c>
      <c r="K24" s="6">
        <v>2</v>
      </c>
      <c r="L24" s="6" t="s">
        <v>85</v>
      </c>
      <c r="M24" s="6" t="s">
        <v>88</v>
      </c>
      <c r="N24" s="6"/>
      <c r="O24" s="6" t="s">
        <v>90</v>
      </c>
      <c r="P24" s="6" t="s">
        <v>92</v>
      </c>
      <c r="Q24" s="6" t="s">
        <v>91</v>
      </c>
      <c r="R24" s="6" t="s">
        <v>94</v>
      </c>
      <c r="S24" s="6" t="s">
        <v>95</v>
      </c>
      <c r="T24" s="3" t="s">
        <v>120</v>
      </c>
      <c r="U24" s="6" t="s">
        <v>96</v>
      </c>
      <c r="V24" s="23">
        <v>46086</v>
      </c>
      <c r="W24" s="23">
        <v>46214</v>
      </c>
      <c r="X24" s="23" t="s">
        <v>101</v>
      </c>
      <c r="Y24" s="100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>
        <v>15</v>
      </c>
      <c r="AY24" s="24">
        <v>15</v>
      </c>
      <c r="AZ24" s="24">
        <v>15</v>
      </c>
      <c r="BA24" s="24">
        <v>15</v>
      </c>
      <c r="BB24" s="24">
        <v>15</v>
      </c>
      <c r="BC24" s="24">
        <v>15</v>
      </c>
      <c r="BD24" s="24">
        <v>15</v>
      </c>
      <c r="BE24" s="24">
        <v>8</v>
      </c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</row>
    <row r="25" spans="1:91" ht="18">
      <c r="A25" s="6" t="s">
        <v>99</v>
      </c>
      <c r="B25" s="7" t="s">
        <v>40</v>
      </c>
      <c r="C25" s="6"/>
      <c r="D25" s="6" t="s">
        <v>74</v>
      </c>
      <c r="E25" s="6" t="s">
        <v>68</v>
      </c>
      <c r="F25" s="6"/>
      <c r="G25" s="6" t="s">
        <v>76</v>
      </c>
      <c r="H25" s="21">
        <v>2.5</v>
      </c>
      <c r="I25" s="22">
        <f t="shared" si="0"/>
        <v>187.5</v>
      </c>
      <c r="J25" s="6" t="s">
        <v>82</v>
      </c>
      <c r="K25" s="6">
        <f t="shared" si="1"/>
        <v>3</v>
      </c>
      <c r="L25" s="6" t="s">
        <v>86</v>
      </c>
      <c r="M25" s="6" t="s">
        <v>88</v>
      </c>
      <c r="N25" s="6"/>
      <c r="O25" s="6" t="s">
        <v>90</v>
      </c>
      <c r="P25" s="6" t="s">
        <v>92</v>
      </c>
      <c r="Q25" s="6" t="s">
        <v>91</v>
      </c>
      <c r="R25" s="6" t="s">
        <v>94</v>
      </c>
      <c r="S25" s="6" t="s">
        <v>95</v>
      </c>
      <c r="T25" s="3" t="s">
        <v>120</v>
      </c>
      <c r="U25" s="6" t="s">
        <v>96</v>
      </c>
      <c r="V25" s="23">
        <v>46101</v>
      </c>
      <c r="W25" s="23">
        <v>46231</v>
      </c>
      <c r="X25" s="23" t="s">
        <v>101</v>
      </c>
      <c r="Y25" s="100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>
        <v>15</v>
      </c>
      <c r="BR25" s="24">
        <v>15</v>
      </c>
      <c r="BS25" s="24">
        <v>15</v>
      </c>
      <c r="BT25" s="24">
        <v>15</v>
      </c>
      <c r="BU25" s="24">
        <v>15</v>
      </c>
      <c r="BV25" s="24">
        <v>15</v>
      </c>
      <c r="BW25" s="24">
        <v>15</v>
      </c>
      <c r="BX25" s="24">
        <v>15</v>
      </c>
      <c r="BY25" s="24">
        <v>15</v>
      </c>
      <c r="BZ25" s="24">
        <v>15</v>
      </c>
      <c r="CA25" s="24">
        <v>15</v>
      </c>
      <c r="CB25" s="24">
        <v>15</v>
      </c>
      <c r="CC25" s="24">
        <v>8</v>
      </c>
      <c r="CD25" s="24"/>
      <c r="CE25" s="24"/>
      <c r="CF25" s="24"/>
      <c r="CG25" s="24"/>
      <c r="CH25" s="24"/>
      <c r="CI25" s="24"/>
      <c r="CJ25" s="24"/>
      <c r="CK25" s="24"/>
      <c r="CL25" s="24"/>
    </row>
    <row r="26" spans="1:91" ht="18">
      <c r="A26" s="6" t="s">
        <v>99</v>
      </c>
      <c r="B26" s="7" t="s">
        <v>30</v>
      </c>
      <c r="C26" s="3"/>
      <c r="D26" s="3" t="s">
        <v>74</v>
      </c>
      <c r="E26" s="3" t="s">
        <v>68</v>
      </c>
      <c r="F26" s="3"/>
      <c r="G26" s="3" t="s">
        <v>76</v>
      </c>
      <c r="H26" s="21">
        <v>2</v>
      </c>
      <c r="I26" s="22">
        <f t="shared" ref="I26" si="4">H26*75</f>
        <v>150</v>
      </c>
      <c r="J26" s="3" t="s">
        <v>84</v>
      </c>
      <c r="K26" s="3">
        <v>3</v>
      </c>
      <c r="L26" s="3" t="s">
        <v>85</v>
      </c>
      <c r="M26" s="3" t="s">
        <v>88</v>
      </c>
      <c r="N26" s="3"/>
      <c r="O26" s="3" t="s">
        <v>90</v>
      </c>
      <c r="P26" s="3" t="s">
        <v>92</v>
      </c>
      <c r="Q26" s="3" t="s">
        <v>91</v>
      </c>
      <c r="R26" s="3" t="s">
        <v>94</v>
      </c>
      <c r="S26" s="6" t="s">
        <v>95</v>
      </c>
      <c r="T26" s="3" t="s">
        <v>120</v>
      </c>
      <c r="U26" s="6" t="s">
        <v>96</v>
      </c>
      <c r="V26" s="23">
        <v>46091</v>
      </c>
      <c r="W26" s="23">
        <v>907</v>
      </c>
      <c r="X26" s="23" t="s">
        <v>101</v>
      </c>
      <c r="Y26" s="100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</row>
    <row r="27" spans="1:91" ht="18">
      <c r="A27" s="6" t="s">
        <v>99</v>
      </c>
      <c r="B27" s="7" t="s">
        <v>41</v>
      </c>
      <c r="C27" s="6"/>
      <c r="D27" s="6" t="s">
        <v>74</v>
      </c>
      <c r="E27" s="6" t="s">
        <v>68</v>
      </c>
      <c r="F27" s="6"/>
      <c r="G27" s="6" t="s">
        <v>76</v>
      </c>
      <c r="H27" s="21">
        <v>9.5</v>
      </c>
      <c r="I27" s="22">
        <f t="shared" si="0"/>
        <v>712.5</v>
      </c>
      <c r="J27" s="6" t="s">
        <v>82</v>
      </c>
      <c r="K27" s="6">
        <v>15</v>
      </c>
      <c r="L27" s="6" t="s">
        <v>85</v>
      </c>
      <c r="M27" s="6" t="s">
        <v>88</v>
      </c>
      <c r="N27" s="6"/>
      <c r="O27" s="6" t="s">
        <v>90</v>
      </c>
      <c r="P27" s="6" t="s">
        <v>92</v>
      </c>
      <c r="Q27" s="6" t="s">
        <v>91</v>
      </c>
      <c r="R27" s="6" t="s">
        <v>94</v>
      </c>
      <c r="S27" s="6" t="s">
        <v>95</v>
      </c>
      <c r="T27" s="3" t="s">
        <v>120</v>
      </c>
      <c r="U27" s="6" t="s">
        <v>96</v>
      </c>
      <c r="V27" s="23">
        <v>46101</v>
      </c>
      <c r="W27" s="23">
        <v>46226</v>
      </c>
      <c r="X27" s="23" t="s">
        <v>102</v>
      </c>
      <c r="Y27" s="100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>
        <v>50</v>
      </c>
      <c r="BM27" s="24">
        <v>50</v>
      </c>
      <c r="BN27" s="24">
        <v>50</v>
      </c>
      <c r="BO27" s="24">
        <v>50</v>
      </c>
      <c r="BP27" s="24">
        <v>50</v>
      </c>
      <c r="BQ27" s="24">
        <v>50</v>
      </c>
      <c r="BR27" s="24">
        <v>50</v>
      </c>
      <c r="BS27" s="24">
        <v>50</v>
      </c>
      <c r="BT27" s="24">
        <v>50</v>
      </c>
      <c r="BU27" s="24">
        <v>50</v>
      </c>
      <c r="BV27" s="24">
        <v>50</v>
      </c>
      <c r="BW27" s="24">
        <v>50</v>
      </c>
      <c r="BX27" s="24">
        <v>50</v>
      </c>
      <c r="BY27" s="24">
        <v>20</v>
      </c>
      <c r="BZ27" s="24">
        <v>20</v>
      </c>
      <c r="CA27" s="24">
        <v>20</v>
      </c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</row>
    <row r="28" spans="1:91" ht="18">
      <c r="A28" s="6" t="s">
        <v>99</v>
      </c>
      <c r="B28" s="7" t="s">
        <v>42</v>
      </c>
      <c r="C28" s="6"/>
      <c r="D28" s="6" t="s">
        <v>74</v>
      </c>
      <c r="E28" s="6" t="s">
        <v>68</v>
      </c>
      <c r="F28" s="6"/>
      <c r="G28" s="6" t="s">
        <v>76</v>
      </c>
      <c r="H28" s="21">
        <v>13</v>
      </c>
      <c r="I28" s="22">
        <f>H28*75</f>
        <v>975</v>
      </c>
      <c r="J28" s="6" t="s">
        <v>82</v>
      </c>
      <c r="K28" s="6">
        <v>15</v>
      </c>
      <c r="L28" s="6" t="s">
        <v>85</v>
      </c>
      <c r="M28" s="6" t="s">
        <v>88</v>
      </c>
      <c r="N28" s="6"/>
      <c r="O28" s="6" t="s">
        <v>90</v>
      </c>
      <c r="P28" s="6" t="s">
        <v>92</v>
      </c>
      <c r="Q28" s="6" t="s">
        <v>91</v>
      </c>
      <c r="R28" s="6" t="s">
        <v>94</v>
      </c>
      <c r="S28" s="6" t="s">
        <v>95</v>
      </c>
      <c r="T28" s="3" t="s">
        <v>120</v>
      </c>
      <c r="U28" s="6" t="s">
        <v>96</v>
      </c>
      <c r="V28" s="23">
        <v>46068</v>
      </c>
      <c r="W28" s="23">
        <v>46206</v>
      </c>
      <c r="X28" s="23" t="s">
        <v>101</v>
      </c>
      <c r="Y28" s="100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/>
      <c r="AK28" s="24"/>
      <c r="AL28" s="24"/>
      <c r="AM28" s="24"/>
      <c r="AN28" s="24"/>
      <c r="AO28" s="24"/>
      <c r="AP28" s="24"/>
      <c r="AQ28" s="24"/>
      <c r="AR28" s="24">
        <v>50</v>
      </c>
      <c r="AS28" s="24">
        <v>60</v>
      </c>
      <c r="AT28" s="24">
        <v>60</v>
      </c>
      <c r="AU28" s="24">
        <v>60</v>
      </c>
      <c r="AV28" s="24">
        <v>60</v>
      </c>
      <c r="AW28" s="24">
        <v>60</v>
      </c>
      <c r="AX28" s="24">
        <v>60</v>
      </c>
      <c r="AY28" s="24">
        <v>60</v>
      </c>
      <c r="AZ28" s="24">
        <v>60</v>
      </c>
      <c r="BA28" s="24">
        <v>60</v>
      </c>
      <c r="BB28" s="24">
        <v>60</v>
      </c>
      <c r="BC28" s="24">
        <v>60</v>
      </c>
      <c r="BD28" s="24">
        <v>30</v>
      </c>
      <c r="BE28" s="24">
        <v>30</v>
      </c>
      <c r="BF28" s="24">
        <v>30</v>
      </c>
      <c r="BG28" s="24">
        <v>30</v>
      </c>
      <c r="BH28" s="24">
        <v>30</v>
      </c>
      <c r="BI28" s="24">
        <v>30</v>
      </c>
      <c r="BJ28" s="24">
        <v>30</v>
      </c>
      <c r="BK28" s="24">
        <v>30</v>
      </c>
      <c r="BL28" s="24">
        <v>25</v>
      </c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</row>
    <row r="29" spans="1:91" ht="18">
      <c r="A29" s="6" t="s">
        <v>99</v>
      </c>
      <c r="B29" s="7" t="s">
        <v>43</v>
      </c>
      <c r="C29" s="6"/>
      <c r="D29" s="6" t="s">
        <v>74</v>
      </c>
      <c r="E29" s="6" t="s">
        <v>68</v>
      </c>
      <c r="F29" s="6"/>
      <c r="G29" s="6" t="s">
        <v>76</v>
      </c>
      <c r="H29" s="21">
        <v>3</v>
      </c>
      <c r="I29" s="22">
        <f t="shared" si="0"/>
        <v>225</v>
      </c>
      <c r="J29" s="6" t="s">
        <v>82</v>
      </c>
      <c r="K29" s="6"/>
      <c r="L29" s="6" t="s">
        <v>86</v>
      </c>
      <c r="M29" s="6" t="s">
        <v>88</v>
      </c>
      <c r="N29" s="6"/>
      <c r="O29" s="6" t="s">
        <v>90</v>
      </c>
      <c r="P29" s="6" t="s">
        <v>92</v>
      </c>
      <c r="Q29" s="6" t="s">
        <v>91</v>
      </c>
      <c r="R29" s="6" t="s">
        <v>94</v>
      </c>
      <c r="S29" s="6" t="s">
        <v>95</v>
      </c>
      <c r="T29" s="3" t="s">
        <v>120</v>
      </c>
      <c r="U29" s="6" t="s">
        <v>96</v>
      </c>
      <c r="V29" s="23">
        <v>46096</v>
      </c>
      <c r="W29" s="23">
        <v>46226</v>
      </c>
      <c r="X29" s="23" t="s">
        <v>101</v>
      </c>
      <c r="Y29" s="100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>
        <v>20</v>
      </c>
      <c r="BM29" s="24">
        <v>20</v>
      </c>
      <c r="BN29" s="24">
        <v>20</v>
      </c>
      <c r="BO29" s="24">
        <v>20</v>
      </c>
      <c r="BP29" s="24">
        <v>20</v>
      </c>
      <c r="BQ29" s="24">
        <v>20</v>
      </c>
      <c r="BR29" s="24">
        <v>20</v>
      </c>
      <c r="BS29" s="24">
        <v>20</v>
      </c>
      <c r="BT29" s="24">
        <v>20</v>
      </c>
      <c r="BU29" s="24">
        <v>20</v>
      </c>
      <c r="BV29" s="24">
        <v>15</v>
      </c>
      <c r="BW29" s="24">
        <v>10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</row>
    <row r="30" spans="1:91" ht="18">
      <c r="A30" s="6" t="s">
        <v>99</v>
      </c>
      <c r="B30" s="7" t="s">
        <v>44</v>
      </c>
      <c r="C30" s="6"/>
      <c r="D30" s="6" t="s">
        <v>74</v>
      </c>
      <c r="E30" s="6" t="s">
        <v>68</v>
      </c>
      <c r="F30" s="6"/>
      <c r="G30" s="6" t="s">
        <v>76</v>
      </c>
      <c r="H30" s="21">
        <v>1.5</v>
      </c>
      <c r="I30" s="22">
        <f t="shared" si="0"/>
        <v>112.5</v>
      </c>
      <c r="J30" s="6" t="s">
        <v>82</v>
      </c>
      <c r="K30" s="6">
        <v>3</v>
      </c>
      <c r="L30" s="6" t="s">
        <v>86</v>
      </c>
      <c r="M30" s="6" t="s">
        <v>88</v>
      </c>
      <c r="N30" s="6"/>
      <c r="O30" s="6" t="s">
        <v>90</v>
      </c>
      <c r="P30" s="6" t="s">
        <v>92</v>
      </c>
      <c r="Q30" s="6" t="s">
        <v>91</v>
      </c>
      <c r="R30" s="6" t="s">
        <v>94</v>
      </c>
      <c r="S30" s="6" t="s">
        <v>95</v>
      </c>
      <c r="T30" s="3" t="s">
        <v>120</v>
      </c>
      <c r="U30" s="6" t="s">
        <v>96</v>
      </c>
      <c r="V30" s="23">
        <v>46101</v>
      </c>
      <c r="W30" s="23">
        <v>46231</v>
      </c>
      <c r="X30" s="23" t="s">
        <v>101</v>
      </c>
      <c r="Y30" s="100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>
        <v>15</v>
      </c>
      <c r="BR30" s="24">
        <v>15</v>
      </c>
      <c r="BS30" s="24">
        <v>15</v>
      </c>
      <c r="BT30" s="24">
        <v>15</v>
      </c>
      <c r="BU30" s="24">
        <v>15</v>
      </c>
      <c r="BV30" s="24">
        <v>15</v>
      </c>
      <c r="BW30" s="24">
        <v>10</v>
      </c>
      <c r="BX30" s="24">
        <v>13</v>
      </c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</row>
    <row r="31" spans="1:91" ht="18">
      <c r="A31" s="6" t="s">
        <v>99</v>
      </c>
      <c r="B31" s="7" t="s">
        <v>45</v>
      </c>
      <c r="C31" s="6"/>
      <c r="D31" s="6" t="s">
        <v>74</v>
      </c>
      <c r="E31" s="6" t="s">
        <v>68</v>
      </c>
      <c r="F31" s="6"/>
      <c r="G31" s="6" t="s">
        <v>76</v>
      </c>
      <c r="H31" s="21">
        <v>1</v>
      </c>
      <c r="I31" s="22">
        <f t="shared" si="0"/>
        <v>75</v>
      </c>
      <c r="J31" s="6" t="s">
        <v>82</v>
      </c>
      <c r="K31" s="6">
        <v>2.5</v>
      </c>
      <c r="L31" s="6" t="s">
        <v>85</v>
      </c>
      <c r="M31" s="6" t="s">
        <v>88</v>
      </c>
      <c r="N31" s="6"/>
      <c r="O31" s="6" t="s">
        <v>90</v>
      </c>
      <c r="P31" s="6" t="s">
        <v>92</v>
      </c>
      <c r="Q31" s="6" t="s">
        <v>91</v>
      </c>
      <c r="R31" s="6" t="s">
        <v>94</v>
      </c>
      <c r="S31" s="6" t="s">
        <v>95</v>
      </c>
      <c r="T31" s="3" t="s">
        <v>120</v>
      </c>
      <c r="U31" s="6" t="s">
        <v>96</v>
      </c>
      <c r="V31" s="23">
        <v>46106</v>
      </c>
      <c r="W31" s="23">
        <v>46216</v>
      </c>
      <c r="X31" s="23" t="s">
        <v>101</v>
      </c>
      <c r="Y31" s="100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>
        <v>15</v>
      </c>
      <c r="BC31" s="24">
        <v>15</v>
      </c>
      <c r="BD31" s="24">
        <v>15</v>
      </c>
      <c r="BE31" s="24">
        <v>15</v>
      </c>
      <c r="BF31" s="24">
        <v>15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</row>
    <row r="32" spans="1:91" ht="18">
      <c r="A32" s="6" t="s">
        <v>99</v>
      </c>
      <c r="B32" s="7" t="s">
        <v>46</v>
      </c>
      <c r="C32" s="6"/>
      <c r="D32" s="6" t="s">
        <v>74</v>
      </c>
      <c r="E32" s="6" t="s">
        <v>68</v>
      </c>
      <c r="F32" s="6"/>
      <c r="G32" s="6" t="s">
        <v>76</v>
      </c>
      <c r="H32" s="21">
        <v>2</v>
      </c>
      <c r="I32" s="22">
        <f t="shared" si="0"/>
        <v>150</v>
      </c>
      <c r="J32" s="6" t="s">
        <v>84</v>
      </c>
      <c r="K32" s="6">
        <v>3</v>
      </c>
      <c r="L32" s="6" t="s">
        <v>85</v>
      </c>
      <c r="M32" s="6" t="s">
        <v>88</v>
      </c>
      <c r="N32" s="6"/>
      <c r="O32" s="6" t="s">
        <v>90</v>
      </c>
      <c r="P32" s="6" t="s">
        <v>92</v>
      </c>
      <c r="Q32" s="6" t="s">
        <v>91</v>
      </c>
      <c r="R32" s="6" t="s">
        <v>94</v>
      </c>
      <c r="S32" s="6" t="s">
        <v>95</v>
      </c>
      <c r="T32" s="3" t="s">
        <v>120</v>
      </c>
      <c r="U32" s="6" t="s">
        <v>96</v>
      </c>
      <c r="V32" s="23">
        <v>46101</v>
      </c>
      <c r="W32" s="23">
        <v>46226</v>
      </c>
      <c r="X32" s="23" t="s">
        <v>101</v>
      </c>
      <c r="Y32" s="100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>
        <v>15</v>
      </c>
      <c r="BM32" s="24">
        <v>15</v>
      </c>
      <c r="BN32" s="24">
        <v>15</v>
      </c>
      <c r="BO32" s="24">
        <v>15</v>
      </c>
      <c r="BP32" s="24">
        <v>15</v>
      </c>
      <c r="BQ32" s="24">
        <v>15</v>
      </c>
      <c r="BR32" s="24">
        <v>15</v>
      </c>
      <c r="BS32" s="24">
        <v>15</v>
      </c>
      <c r="BT32" s="24">
        <v>15</v>
      </c>
      <c r="BU32" s="24">
        <v>15</v>
      </c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</row>
    <row r="33" spans="1:90" ht="18">
      <c r="A33" s="6" t="s">
        <v>99</v>
      </c>
      <c r="B33" s="7" t="s">
        <v>41</v>
      </c>
      <c r="C33" s="6"/>
      <c r="D33" s="6" t="s">
        <v>74</v>
      </c>
      <c r="E33" s="6" t="s">
        <v>68</v>
      </c>
      <c r="F33" s="6"/>
      <c r="G33" s="6" t="s">
        <v>76</v>
      </c>
      <c r="H33" s="21">
        <v>9.5</v>
      </c>
      <c r="I33" s="22">
        <f t="shared" ref="I33" si="5">H33*75</f>
        <v>712.5</v>
      </c>
      <c r="J33" s="6" t="s">
        <v>82</v>
      </c>
      <c r="K33" s="6">
        <v>15</v>
      </c>
      <c r="L33" s="6" t="s">
        <v>85</v>
      </c>
      <c r="M33" s="6" t="s">
        <v>88</v>
      </c>
      <c r="N33" s="6"/>
      <c r="O33" s="6" t="s">
        <v>90</v>
      </c>
      <c r="P33" s="6" t="s">
        <v>92</v>
      </c>
      <c r="Q33" s="6" t="s">
        <v>91</v>
      </c>
      <c r="R33" s="6" t="s">
        <v>94</v>
      </c>
      <c r="S33" s="6" t="s">
        <v>95</v>
      </c>
      <c r="T33" s="3" t="s">
        <v>120</v>
      </c>
      <c r="U33" s="6" t="s">
        <v>96</v>
      </c>
      <c r="V33" s="23">
        <v>46101</v>
      </c>
      <c r="W33" s="23">
        <v>46226</v>
      </c>
      <c r="X33" s="23" t="s">
        <v>101</v>
      </c>
      <c r="Y33" s="100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</row>
    <row r="34" spans="1:90" ht="18">
      <c r="A34" s="6" t="s">
        <v>99</v>
      </c>
      <c r="B34" s="7" t="s">
        <v>47</v>
      </c>
      <c r="C34" s="6"/>
      <c r="D34" s="6" t="s">
        <v>74</v>
      </c>
      <c r="E34" s="6" t="s">
        <v>68</v>
      </c>
      <c r="F34" s="6"/>
      <c r="G34" s="6" t="s">
        <v>76</v>
      </c>
      <c r="H34" s="21">
        <v>3</v>
      </c>
      <c r="I34" s="22">
        <f t="shared" si="0"/>
        <v>225</v>
      </c>
      <c r="J34" s="6" t="s">
        <v>82</v>
      </c>
      <c r="K34" s="6">
        <v>5</v>
      </c>
      <c r="L34" s="6" t="s">
        <v>86</v>
      </c>
      <c r="M34" s="6" t="s">
        <v>88</v>
      </c>
      <c r="N34" s="6"/>
      <c r="O34" s="6" t="s">
        <v>90</v>
      </c>
      <c r="P34" s="6" t="s">
        <v>92</v>
      </c>
      <c r="Q34" s="6" t="s">
        <v>91</v>
      </c>
      <c r="R34" s="6" t="s">
        <v>94</v>
      </c>
      <c r="S34" s="6" t="s">
        <v>95</v>
      </c>
      <c r="T34" s="3" t="s">
        <v>120</v>
      </c>
      <c r="U34" s="6" t="s">
        <v>96</v>
      </c>
      <c r="V34" s="23">
        <v>46101</v>
      </c>
      <c r="W34" s="23">
        <v>46223</v>
      </c>
      <c r="X34" s="23" t="s">
        <v>102</v>
      </c>
      <c r="Y34" s="100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>
        <v>20</v>
      </c>
      <c r="BR34" s="24">
        <v>20</v>
      </c>
      <c r="BS34" s="24">
        <v>20</v>
      </c>
      <c r="BT34" s="24">
        <v>20</v>
      </c>
      <c r="BU34" s="24">
        <v>20</v>
      </c>
      <c r="BV34" s="24">
        <v>20</v>
      </c>
      <c r="BW34" s="24">
        <v>20</v>
      </c>
      <c r="BX34" s="24">
        <v>20</v>
      </c>
      <c r="BY34" s="24">
        <v>20</v>
      </c>
      <c r="BZ34" s="24">
        <v>20</v>
      </c>
      <c r="CA34" s="24">
        <v>15</v>
      </c>
      <c r="CB34" s="24">
        <v>10</v>
      </c>
      <c r="CC34" s="24"/>
      <c r="CD34" s="24"/>
      <c r="CE34" s="24"/>
      <c r="CF34" s="24"/>
      <c r="CG34" s="24"/>
      <c r="CH34" s="24"/>
      <c r="CI34" s="24"/>
      <c r="CJ34" s="24"/>
      <c r="CK34" s="24"/>
      <c r="CL34" s="24"/>
    </row>
    <row r="35" spans="1:90" ht="18">
      <c r="A35" s="6" t="s">
        <v>99</v>
      </c>
      <c r="B35" s="7" t="s">
        <v>48</v>
      </c>
      <c r="C35" s="6"/>
      <c r="D35" s="6" t="s">
        <v>74</v>
      </c>
      <c r="E35" s="6" t="s">
        <v>68</v>
      </c>
      <c r="F35" s="6"/>
      <c r="G35" s="6" t="s">
        <v>76</v>
      </c>
      <c r="H35" s="21">
        <v>2.5</v>
      </c>
      <c r="I35" s="22">
        <f t="shared" si="0"/>
        <v>187.5</v>
      </c>
      <c r="J35" s="6" t="s">
        <v>82</v>
      </c>
      <c r="K35" s="6">
        <f t="shared" si="1"/>
        <v>3</v>
      </c>
      <c r="L35" s="6" t="s">
        <v>85</v>
      </c>
      <c r="M35" s="6" t="s">
        <v>88</v>
      </c>
      <c r="N35" s="6"/>
      <c r="O35" s="6" t="s">
        <v>90</v>
      </c>
      <c r="P35" s="6" t="s">
        <v>92</v>
      </c>
      <c r="Q35" s="6" t="s">
        <v>91</v>
      </c>
      <c r="R35" s="6" t="s">
        <v>94</v>
      </c>
      <c r="S35" s="6" t="s">
        <v>95</v>
      </c>
      <c r="T35" s="3" t="s">
        <v>120</v>
      </c>
      <c r="U35" s="6" t="s">
        <v>96</v>
      </c>
      <c r="V35" s="23">
        <v>46078</v>
      </c>
      <c r="W35" s="23">
        <v>46212</v>
      </c>
      <c r="X35" s="23" t="s">
        <v>101</v>
      </c>
      <c r="Y35" s="100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>
        <v>15</v>
      </c>
      <c r="AY35" s="24">
        <v>15</v>
      </c>
      <c r="AZ35" s="24">
        <v>15</v>
      </c>
      <c r="BA35" s="24">
        <v>15</v>
      </c>
      <c r="BB35" s="24">
        <v>15</v>
      </c>
      <c r="BC35" s="24">
        <v>15</v>
      </c>
      <c r="BD35" s="24">
        <v>15</v>
      </c>
      <c r="BE35" s="24">
        <v>15</v>
      </c>
      <c r="BF35" s="24">
        <v>15</v>
      </c>
      <c r="BG35" s="24">
        <v>15</v>
      </c>
      <c r="BH35" s="24">
        <v>15</v>
      </c>
      <c r="BI35" s="24">
        <v>10</v>
      </c>
      <c r="BJ35" s="24">
        <v>10</v>
      </c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</row>
    <row r="36" spans="1:90" ht="18">
      <c r="A36" s="6" t="s">
        <v>99</v>
      </c>
      <c r="B36" s="7" t="s">
        <v>49</v>
      </c>
      <c r="C36" s="6"/>
      <c r="D36" s="6" t="s">
        <v>74</v>
      </c>
      <c r="E36" s="6" t="s">
        <v>68</v>
      </c>
      <c r="F36" s="6"/>
      <c r="G36" s="6" t="s">
        <v>81</v>
      </c>
      <c r="H36" s="21">
        <v>2</v>
      </c>
      <c r="I36" s="22">
        <f t="shared" si="0"/>
        <v>150</v>
      </c>
      <c r="J36" s="6" t="s">
        <v>82</v>
      </c>
      <c r="K36" s="6">
        <v>4</v>
      </c>
      <c r="L36" s="6" t="s">
        <v>85</v>
      </c>
      <c r="M36" s="6" t="s">
        <v>88</v>
      </c>
      <c r="N36" s="6"/>
      <c r="O36" s="6" t="s">
        <v>90</v>
      </c>
      <c r="P36" s="6" t="s">
        <v>92</v>
      </c>
      <c r="Q36" s="6" t="s">
        <v>91</v>
      </c>
      <c r="R36" s="6" t="s">
        <v>94</v>
      </c>
      <c r="S36" s="6" t="s">
        <v>95</v>
      </c>
      <c r="T36" s="3" t="s">
        <v>120</v>
      </c>
      <c r="U36" s="6" t="s">
        <v>96</v>
      </c>
      <c r="V36" s="23">
        <v>46086</v>
      </c>
      <c r="W36" s="23">
        <v>46216</v>
      </c>
      <c r="X36" s="23" t="s">
        <v>101</v>
      </c>
      <c r="Y36" s="100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>
        <v>15</v>
      </c>
      <c r="BC36" s="24">
        <v>15</v>
      </c>
      <c r="BD36" s="24">
        <v>15</v>
      </c>
      <c r="BE36" s="24">
        <v>15</v>
      </c>
      <c r="BF36" s="24">
        <v>15</v>
      </c>
      <c r="BG36" s="24">
        <v>15</v>
      </c>
      <c r="BH36" s="24">
        <v>15</v>
      </c>
      <c r="BI36" s="24">
        <v>15</v>
      </c>
      <c r="BJ36" s="24">
        <v>15</v>
      </c>
      <c r="BK36" s="24">
        <v>15</v>
      </c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</row>
    <row r="37" spans="1:90" ht="18">
      <c r="A37" s="6" t="s">
        <v>99</v>
      </c>
      <c r="B37" s="7" t="s">
        <v>118</v>
      </c>
      <c r="C37" s="6"/>
      <c r="D37" s="6" t="s">
        <v>74</v>
      </c>
      <c r="E37" s="6" t="s">
        <v>68</v>
      </c>
      <c r="F37" s="6"/>
      <c r="G37" s="6" t="s">
        <v>80</v>
      </c>
      <c r="H37" s="21">
        <v>1.5</v>
      </c>
      <c r="I37" s="22">
        <f t="shared" si="0"/>
        <v>112.5</v>
      </c>
      <c r="J37" s="6" t="s">
        <v>84</v>
      </c>
      <c r="K37" s="6">
        <v>2.5</v>
      </c>
      <c r="L37" s="6" t="s">
        <v>85</v>
      </c>
      <c r="M37" s="6" t="s">
        <v>88</v>
      </c>
      <c r="N37" s="6"/>
      <c r="O37" s="6" t="s">
        <v>90</v>
      </c>
      <c r="P37" s="6" t="s">
        <v>92</v>
      </c>
      <c r="Q37" s="6" t="s">
        <v>91</v>
      </c>
      <c r="R37" s="6" t="s">
        <v>94</v>
      </c>
      <c r="S37" s="6" t="s">
        <v>95</v>
      </c>
      <c r="T37" s="3" t="s">
        <v>120</v>
      </c>
      <c r="U37" s="6" t="s">
        <v>96</v>
      </c>
      <c r="V37" s="23">
        <v>46101</v>
      </c>
      <c r="W37" s="23">
        <v>46226</v>
      </c>
      <c r="X37" s="23" t="s">
        <v>101</v>
      </c>
      <c r="Y37" s="100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>
        <v>15</v>
      </c>
      <c r="BM37" s="24">
        <v>15</v>
      </c>
      <c r="BN37" s="24">
        <v>15</v>
      </c>
      <c r="BO37" s="24">
        <v>15</v>
      </c>
      <c r="BP37" s="24">
        <v>15</v>
      </c>
      <c r="BQ37" s="24">
        <v>15</v>
      </c>
      <c r="BR37" s="24">
        <v>15</v>
      </c>
      <c r="BS37" s="24">
        <v>8</v>
      </c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</row>
    <row r="38" spans="1:90" ht="18">
      <c r="A38" s="6" t="s">
        <v>99</v>
      </c>
      <c r="B38" s="7" t="s">
        <v>50</v>
      </c>
      <c r="C38" s="6"/>
      <c r="D38" s="6" t="s">
        <v>74</v>
      </c>
      <c r="E38" s="6" t="s">
        <v>68</v>
      </c>
      <c r="F38" s="6"/>
      <c r="G38" s="6" t="s">
        <v>76</v>
      </c>
      <c r="H38" s="25">
        <v>1</v>
      </c>
      <c r="I38" s="22">
        <f t="shared" si="0"/>
        <v>75</v>
      </c>
      <c r="J38" s="6" t="s">
        <v>82</v>
      </c>
      <c r="K38" s="6">
        <f t="shared" si="1"/>
        <v>1.2</v>
      </c>
      <c r="L38" s="6" t="s">
        <v>85</v>
      </c>
      <c r="M38" s="6" t="s">
        <v>88</v>
      </c>
      <c r="N38" s="6"/>
      <c r="O38" s="6" t="s">
        <v>90</v>
      </c>
      <c r="P38" s="6" t="s">
        <v>92</v>
      </c>
      <c r="Q38" s="6" t="s">
        <v>91</v>
      </c>
      <c r="R38" s="6" t="s">
        <v>94</v>
      </c>
      <c r="S38" s="6" t="s">
        <v>95</v>
      </c>
      <c r="T38" s="3" t="s">
        <v>120</v>
      </c>
      <c r="U38" s="6" t="s">
        <v>96</v>
      </c>
      <c r="V38" s="23">
        <v>46101</v>
      </c>
      <c r="W38" s="23">
        <v>46231</v>
      </c>
      <c r="X38" s="23" t="s">
        <v>101</v>
      </c>
      <c r="Y38" s="100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>
        <v>15</v>
      </c>
      <c r="BR38" s="24">
        <v>15</v>
      </c>
      <c r="BS38" s="24">
        <v>15</v>
      </c>
      <c r="BT38" s="24">
        <v>15</v>
      </c>
      <c r="BU38" s="24">
        <v>15</v>
      </c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</row>
    <row r="39" spans="1:90" ht="18">
      <c r="A39" s="6" t="s">
        <v>99</v>
      </c>
      <c r="B39" s="7" t="s">
        <v>51</v>
      </c>
      <c r="C39" s="6"/>
      <c r="D39" s="6" t="s">
        <v>74</v>
      </c>
      <c r="E39" s="6" t="s">
        <v>68</v>
      </c>
      <c r="F39" s="6"/>
      <c r="G39" s="6" t="s">
        <v>76</v>
      </c>
      <c r="H39" s="25">
        <v>2</v>
      </c>
      <c r="I39" s="22">
        <f t="shared" si="0"/>
        <v>150</v>
      </c>
      <c r="J39" s="6" t="s">
        <v>84</v>
      </c>
      <c r="K39" s="6">
        <v>2.5</v>
      </c>
      <c r="L39" s="6" t="s">
        <v>85</v>
      </c>
      <c r="M39" s="6" t="s">
        <v>88</v>
      </c>
      <c r="N39" s="6"/>
      <c r="O39" s="6" t="s">
        <v>90</v>
      </c>
      <c r="P39" s="6" t="s">
        <v>92</v>
      </c>
      <c r="Q39" s="6" t="s">
        <v>91</v>
      </c>
      <c r="R39" s="6" t="s">
        <v>94</v>
      </c>
      <c r="S39" s="6" t="s">
        <v>95</v>
      </c>
      <c r="T39" s="3" t="s">
        <v>120</v>
      </c>
      <c r="U39" s="6" t="s">
        <v>96</v>
      </c>
      <c r="V39" s="23">
        <v>46082</v>
      </c>
      <c r="W39" s="23">
        <v>46216</v>
      </c>
      <c r="X39" s="23" t="s">
        <v>101</v>
      </c>
      <c r="Y39" s="100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>
        <v>15</v>
      </c>
      <c r="BC39" s="24">
        <v>15</v>
      </c>
      <c r="BD39" s="24">
        <v>15</v>
      </c>
      <c r="BE39" s="24">
        <v>15</v>
      </c>
      <c r="BF39" s="24">
        <v>15</v>
      </c>
      <c r="BG39" s="24">
        <v>15</v>
      </c>
      <c r="BH39" s="24">
        <v>15</v>
      </c>
      <c r="BI39" s="24">
        <v>15</v>
      </c>
      <c r="BJ39" s="24">
        <v>15</v>
      </c>
      <c r="BK39" s="24">
        <v>15</v>
      </c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</row>
    <row r="40" spans="1:90" ht="18">
      <c r="A40" s="6" t="s">
        <v>99</v>
      </c>
      <c r="B40" s="7" t="s">
        <v>52</v>
      </c>
      <c r="C40" s="6"/>
      <c r="D40" s="6" t="s">
        <v>74</v>
      </c>
      <c r="E40" s="6" t="s">
        <v>68</v>
      </c>
      <c r="F40" s="6"/>
      <c r="G40" s="6" t="s">
        <v>76</v>
      </c>
      <c r="H40" s="21">
        <v>3.5</v>
      </c>
      <c r="I40" s="22">
        <f t="shared" si="0"/>
        <v>262.5</v>
      </c>
      <c r="J40" s="6" t="s">
        <v>84</v>
      </c>
      <c r="K40" s="6">
        <f t="shared" si="1"/>
        <v>4.2</v>
      </c>
      <c r="L40" s="6" t="s">
        <v>86</v>
      </c>
      <c r="M40" s="6" t="s">
        <v>88</v>
      </c>
      <c r="N40" s="6"/>
      <c r="O40" s="6" t="s">
        <v>90</v>
      </c>
      <c r="P40" s="6" t="s">
        <v>92</v>
      </c>
      <c r="Q40" s="6" t="s">
        <v>91</v>
      </c>
      <c r="R40" s="6" t="s">
        <v>94</v>
      </c>
      <c r="S40" s="6" t="s">
        <v>95</v>
      </c>
      <c r="T40" s="3" t="s">
        <v>120</v>
      </c>
      <c r="U40" s="6" t="s">
        <v>96</v>
      </c>
      <c r="V40" s="23">
        <v>46082</v>
      </c>
      <c r="W40" s="23">
        <v>46216</v>
      </c>
      <c r="X40" s="23" t="s">
        <v>101</v>
      </c>
      <c r="Y40" s="100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>
        <v>20</v>
      </c>
      <c r="BC40" s="24">
        <v>20</v>
      </c>
      <c r="BD40" s="24">
        <v>20</v>
      </c>
      <c r="BE40" s="24">
        <v>20</v>
      </c>
      <c r="BF40" s="24">
        <v>20</v>
      </c>
      <c r="BG40" s="24">
        <v>20</v>
      </c>
      <c r="BH40" s="24">
        <v>20</v>
      </c>
      <c r="BI40" s="24">
        <v>20</v>
      </c>
      <c r="BJ40" s="24">
        <v>20</v>
      </c>
      <c r="BK40" s="24">
        <v>20</v>
      </c>
      <c r="BL40" s="24">
        <v>20</v>
      </c>
      <c r="BM40" s="24">
        <v>20</v>
      </c>
      <c r="BN40" s="24">
        <v>20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</row>
    <row r="41" spans="1:90" ht="18">
      <c r="A41" s="6" t="s">
        <v>99</v>
      </c>
      <c r="B41" s="7" t="s">
        <v>53</v>
      </c>
      <c r="C41" s="6"/>
      <c r="D41" s="6" t="s">
        <v>74</v>
      </c>
      <c r="E41" s="6" t="s">
        <v>68</v>
      </c>
      <c r="F41" s="6"/>
      <c r="G41" s="6" t="s">
        <v>76</v>
      </c>
      <c r="H41" s="21">
        <v>1</v>
      </c>
      <c r="I41" s="22">
        <f t="shared" si="0"/>
        <v>75</v>
      </c>
      <c r="J41" s="6" t="s">
        <v>82</v>
      </c>
      <c r="K41" s="6">
        <v>4</v>
      </c>
      <c r="L41" s="6" t="s">
        <v>86</v>
      </c>
      <c r="M41" s="6" t="s">
        <v>88</v>
      </c>
      <c r="N41" s="6"/>
      <c r="O41" s="6" t="s">
        <v>90</v>
      </c>
      <c r="P41" s="6" t="s">
        <v>92</v>
      </c>
      <c r="Q41" s="6" t="s">
        <v>91</v>
      </c>
      <c r="R41" s="6" t="s">
        <v>94</v>
      </c>
      <c r="S41" s="6" t="s">
        <v>95</v>
      </c>
      <c r="T41" s="3" t="s">
        <v>120</v>
      </c>
      <c r="U41" s="6" t="s">
        <v>96</v>
      </c>
      <c r="V41" s="23">
        <v>46096</v>
      </c>
      <c r="W41" s="23">
        <v>46226</v>
      </c>
      <c r="X41" s="23" t="s">
        <v>102</v>
      </c>
      <c r="Y41" s="100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>
        <v>10</v>
      </c>
      <c r="BM41" s="24">
        <v>10</v>
      </c>
      <c r="BN41" s="24">
        <v>10</v>
      </c>
      <c r="BO41" s="24">
        <v>10</v>
      </c>
      <c r="BP41" s="24">
        <v>10</v>
      </c>
      <c r="BQ41" s="24">
        <v>10</v>
      </c>
      <c r="BR41" s="24">
        <v>10</v>
      </c>
      <c r="BS41" s="24">
        <v>5</v>
      </c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</row>
    <row r="42" spans="1:90" ht="18">
      <c r="A42" s="6" t="s">
        <v>99</v>
      </c>
      <c r="B42" s="7" t="s">
        <v>54</v>
      </c>
      <c r="C42" s="6"/>
      <c r="D42" s="6" t="s">
        <v>74</v>
      </c>
      <c r="E42" s="6" t="s">
        <v>68</v>
      </c>
      <c r="F42" s="6"/>
      <c r="G42" s="6" t="s">
        <v>76</v>
      </c>
      <c r="H42" s="21">
        <v>2.5</v>
      </c>
      <c r="I42" s="22">
        <f t="shared" si="0"/>
        <v>187.5</v>
      </c>
      <c r="J42" s="6" t="s">
        <v>82</v>
      </c>
      <c r="K42" s="6">
        <f t="shared" si="1"/>
        <v>3</v>
      </c>
      <c r="L42" s="6" t="s">
        <v>85</v>
      </c>
      <c r="M42" s="6" t="s">
        <v>88</v>
      </c>
      <c r="N42" s="6"/>
      <c r="O42" s="6" t="s">
        <v>90</v>
      </c>
      <c r="P42" s="6" t="s">
        <v>92</v>
      </c>
      <c r="Q42" s="6" t="s">
        <v>91</v>
      </c>
      <c r="R42" s="6" t="s">
        <v>94</v>
      </c>
      <c r="S42" s="6" t="s">
        <v>95</v>
      </c>
      <c r="T42" s="3" t="s">
        <v>120</v>
      </c>
      <c r="U42" s="6" t="s">
        <v>96</v>
      </c>
      <c r="V42" s="23">
        <v>46078</v>
      </c>
      <c r="W42" s="23">
        <v>46212</v>
      </c>
      <c r="X42" s="23" t="s">
        <v>101</v>
      </c>
      <c r="Y42" s="100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>
        <v>15</v>
      </c>
      <c r="AY42" s="24">
        <v>15</v>
      </c>
      <c r="AZ42" s="24">
        <v>15</v>
      </c>
      <c r="BA42" s="24">
        <v>15</v>
      </c>
      <c r="BB42" s="24">
        <v>15</v>
      </c>
      <c r="BC42" s="24">
        <v>15</v>
      </c>
      <c r="BD42" s="24">
        <v>15</v>
      </c>
      <c r="BE42" s="24">
        <v>15</v>
      </c>
      <c r="BF42" s="24">
        <v>15</v>
      </c>
      <c r="BG42" s="24">
        <v>15</v>
      </c>
      <c r="BH42" s="24">
        <v>15</v>
      </c>
      <c r="BI42" s="24">
        <v>15</v>
      </c>
      <c r="BJ42" s="24">
        <v>8</v>
      </c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</row>
    <row r="43" spans="1:90" ht="18">
      <c r="A43" s="6" t="s">
        <v>99</v>
      </c>
      <c r="B43" s="7" t="s">
        <v>55</v>
      </c>
      <c r="C43" s="6"/>
      <c r="D43" s="6" t="s">
        <v>74</v>
      </c>
      <c r="E43" s="6" t="s">
        <v>68</v>
      </c>
      <c r="F43" s="6"/>
      <c r="G43" s="6" t="s">
        <v>81</v>
      </c>
      <c r="H43" s="21">
        <v>1</v>
      </c>
      <c r="I43" s="22">
        <f t="shared" si="0"/>
        <v>75</v>
      </c>
      <c r="J43" s="6" t="s">
        <v>82</v>
      </c>
      <c r="K43" s="6">
        <v>3</v>
      </c>
      <c r="L43" s="6" t="s">
        <v>85</v>
      </c>
      <c r="M43" s="6" t="s">
        <v>88</v>
      </c>
      <c r="N43" s="6"/>
      <c r="O43" s="6" t="s">
        <v>90</v>
      </c>
      <c r="P43" s="6" t="s">
        <v>92</v>
      </c>
      <c r="Q43" s="6" t="s">
        <v>91</v>
      </c>
      <c r="R43" s="6" t="s">
        <v>94</v>
      </c>
      <c r="S43" s="6" t="s">
        <v>95</v>
      </c>
      <c r="T43" s="3" t="s">
        <v>120</v>
      </c>
      <c r="U43" s="6" t="s">
        <v>96</v>
      </c>
      <c r="V43" s="23">
        <v>46068</v>
      </c>
      <c r="W43" s="23">
        <v>46213</v>
      </c>
      <c r="X43" s="23" t="s">
        <v>101</v>
      </c>
      <c r="Y43" s="100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>
        <v>15</v>
      </c>
      <c r="BC43" s="24">
        <v>15</v>
      </c>
      <c r="BD43" s="24">
        <v>15</v>
      </c>
      <c r="BE43" s="24">
        <v>15</v>
      </c>
      <c r="BF43" s="24">
        <v>15</v>
      </c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</row>
    <row r="44" spans="1:90" ht="18">
      <c r="A44" s="6" t="s">
        <v>99</v>
      </c>
      <c r="B44" s="7" t="s">
        <v>56</v>
      </c>
      <c r="C44" s="6"/>
      <c r="D44" s="6" t="s">
        <v>74</v>
      </c>
      <c r="E44" s="6" t="s">
        <v>68</v>
      </c>
      <c r="F44" s="6"/>
      <c r="G44" s="6" t="s">
        <v>80</v>
      </c>
      <c r="H44" s="21">
        <v>2.5</v>
      </c>
      <c r="I44" s="22">
        <f t="shared" si="0"/>
        <v>187.5</v>
      </c>
      <c r="J44" s="6" t="s">
        <v>84</v>
      </c>
      <c r="K44" s="6">
        <f t="shared" si="1"/>
        <v>3</v>
      </c>
      <c r="L44" s="6" t="s">
        <v>85</v>
      </c>
      <c r="M44" s="6" t="s">
        <v>88</v>
      </c>
      <c r="N44" s="6"/>
      <c r="O44" s="6" t="s">
        <v>90</v>
      </c>
      <c r="P44" s="6" t="s">
        <v>92</v>
      </c>
      <c r="Q44" s="6" t="s">
        <v>91</v>
      </c>
      <c r="R44" s="6" t="s">
        <v>94</v>
      </c>
      <c r="S44" s="6" t="s">
        <v>95</v>
      </c>
      <c r="T44" s="3" t="s">
        <v>120</v>
      </c>
      <c r="U44" s="6" t="s">
        <v>96</v>
      </c>
      <c r="V44" s="23">
        <v>46073</v>
      </c>
      <c r="W44" s="23">
        <v>46214</v>
      </c>
      <c r="X44" s="23" t="s">
        <v>101</v>
      </c>
      <c r="Y44" s="100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>
        <v>15</v>
      </c>
      <c r="AY44" s="24">
        <v>15</v>
      </c>
      <c r="AZ44" s="24">
        <v>15</v>
      </c>
      <c r="BA44" s="24">
        <v>15</v>
      </c>
      <c r="BB44" s="24">
        <v>15</v>
      </c>
      <c r="BC44" s="24">
        <v>15</v>
      </c>
      <c r="BD44" s="24">
        <v>15</v>
      </c>
      <c r="BE44" s="24">
        <v>15</v>
      </c>
      <c r="BF44" s="24">
        <v>15</v>
      </c>
      <c r="BG44" s="24">
        <v>15</v>
      </c>
      <c r="BH44" s="24">
        <v>15</v>
      </c>
      <c r="BI44" s="24">
        <v>15</v>
      </c>
      <c r="BJ44" s="24">
        <v>8</v>
      </c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</row>
    <row r="45" spans="1:90" ht="18">
      <c r="A45" s="6" t="s">
        <v>99</v>
      </c>
      <c r="B45" s="7" t="s">
        <v>57</v>
      </c>
      <c r="C45" s="6"/>
      <c r="D45" s="6" t="s">
        <v>74</v>
      </c>
      <c r="E45" s="6" t="s">
        <v>68</v>
      </c>
      <c r="F45" s="6"/>
      <c r="G45" s="6" t="s">
        <v>76</v>
      </c>
      <c r="H45" s="21">
        <v>1.5</v>
      </c>
      <c r="I45" s="22">
        <f t="shared" si="0"/>
        <v>112.5</v>
      </c>
      <c r="J45" s="6" t="s">
        <v>84</v>
      </c>
      <c r="K45" s="6">
        <v>2.5</v>
      </c>
      <c r="L45" s="6" t="s">
        <v>85</v>
      </c>
      <c r="M45" s="6" t="s">
        <v>88</v>
      </c>
      <c r="N45" s="6"/>
      <c r="O45" s="6" t="s">
        <v>90</v>
      </c>
      <c r="P45" s="6" t="s">
        <v>92</v>
      </c>
      <c r="Q45" s="6" t="s">
        <v>91</v>
      </c>
      <c r="R45" s="6" t="s">
        <v>94</v>
      </c>
      <c r="S45" s="6" t="s">
        <v>95</v>
      </c>
      <c r="T45" s="3" t="s">
        <v>120</v>
      </c>
      <c r="U45" s="6" t="s">
        <v>96</v>
      </c>
      <c r="V45" s="23">
        <v>46106</v>
      </c>
      <c r="W45" s="23">
        <v>46231</v>
      </c>
      <c r="X45" s="23" t="s">
        <v>101</v>
      </c>
      <c r="Y45" s="100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>
        <v>10</v>
      </c>
      <c r="BL45" s="24">
        <v>10</v>
      </c>
      <c r="BM45" s="24">
        <v>10</v>
      </c>
      <c r="BN45" s="24">
        <v>10</v>
      </c>
      <c r="BO45" s="24">
        <v>10</v>
      </c>
      <c r="BP45" s="24">
        <v>10</v>
      </c>
      <c r="BQ45" s="24">
        <v>10</v>
      </c>
      <c r="BR45" s="24">
        <v>10</v>
      </c>
      <c r="BS45" s="24">
        <v>10</v>
      </c>
      <c r="BT45" s="24">
        <v>10</v>
      </c>
      <c r="BU45" s="24">
        <v>7</v>
      </c>
      <c r="BV45" s="24">
        <v>7</v>
      </c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</row>
    <row r="46" spans="1:90" ht="18">
      <c r="A46" s="6" t="s">
        <v>99</v>
      </c>
      <c r="B46" s="6" t="s">
        <v>58</v>
      </c>
      <c r="C46" s="6"/>
      <c r="D46" s="6" t="s">
        <v>74</v>
      </c>
      <c r="E46" s="6" t="s">
        <v>68</v>
      </c>
      <c r="F46" s="6"/>
      <c r="G46" s="6" t="s">
        <v>79</v>
      </c>
      <c r="H46" s="6">
        <v>5</v>
      </c>
      <c r="I46" s="22">
        <f t="shared" ref="I46:I59" si="6">H46*75</f>
        <v>375</v>
      </c>
      <c r="J46" s="6" t="s">
        <v>82</v>
      </c>
      <c r="K46" s="6">
        <v>10</v>
      </c>
      <c r="L46" s="6" t="s">
        <v>86</v>
      </c>
      <c r="M46" s="6" t="s">
        <v>88</v>
      </c>
      <c r="N46" s="6"/>
      <c r="O46" s="6" t="s">
        <v>90</v>
      </c>
      <c r="P46" s="6" t="s">
        <v>92</v>
      </c>
      <c r="Q46" s="6" t="s">
        <v>91</v>
      </c>
      <c r="R46" s="6" t="s">
        <v>94</v>
      </c>
      <c r="S46" s="6" t="s">
        <v>95</v>
      </c>
      <c r="T46" s="3" t="s">
        <v>120</v>
      </c>
      <c r="U46" s="6" t="s">
        <v>96</v>
      </c>
      <c r="V46" s="23">
        <v>46082</v>
      </c>
      <c r="W46" s="23">
        <v>46212</v>
      </c>
      <c r="X46" s="23" t="s">
        <v>101</v>
      </c>
      <c r="Y46" s="100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>
        <v>20</v>
      </c>
      <c r="AY46" s="24">
        <v>20</v>
      </c>
      <c r="AZ46" s="24">
        <v>20</v>
      </c>
      <c r="BA46" s="24">
        <v>20</v>
      </c>
      <c r="BB46" s="24">
        <v>20</v>
      </c>
      <c r="BC46" s="24">
        <v>20</v>
      </c>
      <c r="BD46" s="24">
        <v>20</v>
      </c>
      <c r="BE46" s="24">
        <v>20</v>
      </c>
      <c r="BF46" s="24">
        <v>20</v>
      </c>
      <c r="BG46" s="24">
        <v>20</v>
      </c>
      <c r="BH46" s="24">
        <v>20</v>
      </c>
      <c r="BI46" s="24">
        <v>20</v>
      </c>
      <c r="BJ46" s="24">
        <v>20</v>
      </c>
      <c r="BK46" s="24">
        <v>20</v>
      </c>
      <c r="BL46" s="24">
        <v>20</v>
      </c>
      <c r="BM46" s="24">
        <v>20</v>
      </c>
      <c r="BN46" s="24">
        <v>20</v>
      </c>
      <c r="BO46" s="24">
        <v>20</v>
      </c>
      <c r="BP46" s="24">
        <v>15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</row>
    <row r="47" spans="1:90" ht="18">
      <c r="A47" s="6" t="s">
        <v>99</v>
      </c>
      <c r="B47" s="6" t="s">
        <v>115</v>
      </c>
      <c r="C47" s="6"/>
      <c r="D47" s="6" t="s">
        <v>74</v>
      </c>
      <c r="E47" s="6" t="s">
        <v>68</v>
      </c>
      <c r="F47" s="6"/>
      <c r="G47" s="6" t="s">
        <v>78</v>
      </c>
      <c r="H47" s="6">
        <v>1</v>
      </c>
      <c r="I47" s="22">
        <f t="shared" si="6"/>
        <v>75</v>
      </c>
      <c r="J47" s="6" t="s">
        <v>82</v>
      </c>
      <c r="K47" s="6">
        <v>2</v>
      </c>
      <c r="L47" s="6" t="s">
        <v>86</v>
      </c>
      <c r="M47" s="6" t="s">
        <v>88</v>
      </c>
      <c r="N47" s="6"/>
      <c r="O47" s="6" t="s">
        <v>90</v>
      </c>
      <c r="P47" s="6" t="s">
        <v>92</v>
      </c>
      <c r="Q47" s="6" t="s">
        <v>91</v>
      </c>
      <c r="R47" s="6" t="s">
        <v>94</v>
      </c>
      <c r="S47" s="6" t="s">
        <v>95</v>
      </c>
      <c r="T47" s="3" t="s">
        <v>120</v>
      </c>
      <c r="U47" s="6" t="s">
        <v>96</v>
      </c>
      <c r="V47" s="23">
        <v>46106</v>
      </c>
      <c r="W47" s="23">
        <v>46213</v>
      </c>
      <c r="X47" s="23" t="s">
        <v>101</v>
      </c>
      <c r="Y47" s="100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>
        <v>15</v>
      </c>
      <c r="AZ47" s="24">
        <v>15</v>
      </c>
      <c r="BA47" s="24">
        <v>15</v>
      </c>
      <c r="BB47" s="24">
        <v>15</v>
      </c>
      <c r="BC47" s="24">
        <v>15</v>
      </c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</row>
    <row r="48" spans="1:90" ht="18">
      <c r="A48" s="6" t="s">
        <v>99</v>
      </c>
      <c r="B48" s="6" t="s">
        <v>114</v>
      </c>
      <c r="C48" s="6"/>
      <c r="D48" s="6" t="s">
        <v>74</v>
      </c>
      <c r="E48" s="6" t="s">
        <v>68</v>
      </c>
      <c r="F48" s="6"/>
      <c r="G48" s="6" t="s">
        <v>79</v>
      </c>
      <c r="H48" s="6">
        <v>1</v>
      </c>
      <c r="I48" s="22">
        <f t="shared" si="6"/>
        <v>75</v>
      </c>
      <c r="J48" s="6" t="s">
        <v>82</v>
      </c>
      <c r="K48" s="6">
        <v>2</v>
      </c>
      <c r="L48" s="6" t="s">
        <v>86</v>
      </c>
      <c r="M48" s="6" t="s">
        <v>88</v>
      </c>
      <c r="N48" s="6"/>
      <c r="O48" s="6" t="s">
        <v>90</v>
      </c>
      <c r="P48" s="6" t="s">
        <v>92</v>
      </c>
      <c r="Q48" s="6" t="s">
        <v>91</v>
      </c>
      <c r="R48" s="6" t="s">
        <v>94</v>
      </c>
      <c r="S48" s="6" t="s">
        <v>95</v>
      </c>
      <c r="T48" s="3" t="s">
        <v>120</v>
      </c>
      <c r="U48" s="6" t="s">
        <v>96</v>
      </c>
      <c r="V48" s="23">
        <v>46129</v>
      </c>
      <c r="W48" s="23">
        <v>46225</v>
      </c>
      <c r="X48" s="23" t="s">
        <v>101</v>
      </c>
      <c r="Y48" s="100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>
        <v>15</v>
      </c>
      <c r="BL48" s="24">
        <v>15</v>
      </c>
      <c r="BM48" s="24">
        <v>15</v>
      </c>
      <c r="BN48" s="24">
        <v>15</v>
      </c>
      <c r="BO48" s="24">
        <v>15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</row>
    <row r="49" spans="1:193" ht="18">
      <c r="A49" s="93" t="s">
        <v>99</v>
      </c>
      <c r="B49" s="94" t="s">
        <v>47</v>
      </c>
      <c r="C49" s="93"/>
      <c r="D49" s="93" t="s">
        <v>74</v>
      </c>
      <c r="E49" s="93" t="s">
        <v>68</v>
      </c>
      <c r="F49" s="93"/>
      <c r="G49" s="93" t="s">
        <v>76</v>
      </c>
      <c r="H49" s="96">
        <v>3</v>
      </c>
      <c r="I49" s="97">
        <f t="shared" si="6"/>
        <v>225</v>
      </c>
      <c r="J49" s="93" t="s">
        <v>82</v>
      </c>
      <c r="K49" s="93">
        <v>5</v>
      </c>
      <c r="L49" s="93" t="s">
        <v>86</v>
      </c>
      <c r="M49" s="93" t="s">
        <v>88</v>
      </c>
      <c r="N49" s="93"/>
      <c r="O49" s="93" t="s">
        <v>90</v>
      </c>
      <c r="P49" s="93" t="s">
        <v>92</v>
      </c>
      <c r="Q49" s="93" t="s">
        <v>91</v>
      </c>
      <c r="R49" s="93" t="s">
        <v>94</v>
      </c>
      <c r="S49" s="93" t="s">
        <v>95</v>
      </c>
      <c r="T49" s="95" t="s">
        <v>120</v>
      </c>
      <c r="U49" s="93" t="s">
        <v>96</v>
      </c>
      <c r="V49" s="98">
        <v>46101</v>
      </c>
      <c r="W49" s="98">
        <v>46223</v>
      </c>
      <c r="X49" s="98" t="s">
        <v>101</v>
      </c>
      <c r="Y49" s="92"/>
    </row>
    <row r="50" spans="1:193" ht="18">
      <c r="A50" s="6" t="s">
        <v>99</v>
      </c>
      <c r="B50" s="6" t="s">
        <v>113</v>
      </c>
      <c r="C50" s="6"/>
      <c r="D50" s="6" t="s">
        <v>74</v>
      </c>
      <c r="E50" s="6" t="s">
        <v>68</v>
      </c>
      <c r="F50" s="6"/>
      <c r="G50" s="6" t="s">
        <v>81</v>
      </c>
      <c r="H50" s="6">
        <v>1</v>
      </c>
      <c r="I50" s="22">
        <f t="shared" si="6"/>
        <v>75</v>
      </c>
      <c r="J50" s="6" t="s">
        <v>82</v>
      </c>
      <c r="K50" s="6">
        <v>2</v>
      </c>
      <c r="L50" s="6" t="s">
        <v>85</v>
      </c>
      <c r="M50" s="6" t="s">
        <v>88</v>
      </c>
      <c r="N50" s="6"/>
      <c r="O50" s="6" t="s">
        <v>90</v>
      </c>
      <c r="P50" s="6" t="s">
        <v>92</v>
      </c>
      <c r="Q50" s="6" t="s">
        <v>91</v>
      </c>
      <c r="R50" s="6" t="s">
        <v>94</v>
      </c>
      <c r="S50" s="6" t="s">
        <v>95</v>
      </c>
      <c r="T50" s="3" t="s">
        <v>120</v>
      </c>
      <c r="U50" s="6" t="s">
        <v>96</v>
      </c>
      <c r="V50" s="23">
        <v>46086</v>
      </c>
      <c r="W50" s="23">
        <v>46213</v>
      </c>
      <c r="X50" s="23" t="s">
        <v>101</v>
      </c>
      <c r="Y50" s="100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>
        <v>15</v>
      </c>
      <c r="AZ50" s="24">
        <v>15</v>
      </c>
      <c r="BA50" s="24">
        <v>15</v>
      </c>
      <c r="BB50" s="24">
        <v>15</v>
      </c>
      <c r="BC50" s="24">
        <v>15</v>
      </c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</row>
    <row r="51" spans="1:193" ht="18">
      <c r="A51" s="6" t="s">
        <v>99</v>
      </c>
      <c r="B51" s="6" t="s">
        <v>112</v>
      </c>
      <c r="C51" s="6"/>
      <c r="D51" s="6" t="s">
        <v>74</v>
      </c>
      <c r="E51" s="6" t="s">
        <v>68</v>
      </c>
      <c r="F51" s="6"/>
      <c r="G51" s="6" t="s">
        <v>76</v>
      </c>
      <c r="H51" s="6">
        <v>1</v>
      </c>
      <c r="I51" s="22">
        <f t="shared" si="6"/>
        <v>75</v>
      </c>
      <c r="J51" s="6" t="s">
        <v>82</v>
      </c>
      <c r="K51" s="6">
        <v>2</v>
      </c>
      <c r="L51" s="6" t="s">
        <v>85</v>
      </c>
      <c r="M51" s="6" t="s">
        <v>88</v>
      </c>
      <c r="N51" s="6"/>
      <c r="O51" s="6" t="s">
        <v>90</v>
      </c>
      <c r="P51" s="6" t="s">
        <v>92</v>
      </c>
      <c r="Q51" s="6" t="s">
        <v>91</v>
      </c>
      <c r="R51" s="6" t="s">
        <v>94</v>
      </c>
      <c r="S51" s="6" t="s">
        <v>95</v>
      </c>
      <c r="T51" s="3" t="s">
        <v>120</v>
      </c>
      <c r="U51" s="6" t="s">
        <v>96</v>
      </c>
      <c r="V51" s="23">
        <v>46096</v>
      </c>
      <c r="W51" s="23">
        <v>46213</v>
      </c>
      <c r="X51" s="23" t="s">
        <v>101</v>
      </c>
      <c r="Y51" s="100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>
        <v>15</v>
      </c>
      <c r="AZ51" s="24">
        <v>15</v>
      </c>
      <c r="BA51" s="24">
        <v>15</v>
      </c>
      <c r="BB51" s="24">
        <v>15</v>
      </c>
      <c r="BC51" s="24">
        <v>15</v>
      </c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</row>
    <row r="52" spans="1:193" ht="18">
      <c r="A52" s="6" t="s">
        <v>99</v>
      </c>
      <c r="B52" s="6" t="s">
        <v>111</v>
      </c>
      <c r="C52" s="6"/>
      <c r="D52" s="6" t="s">
        <v>74</v>
      </c>
      <c r="E52" s="6" t="s">
        <v>68</v>
      </c>
      <c r="F52" s="6"/>
      <c r="G52" s="6" t="s">
        <v>76</v>
      </c>
      <c r="H52" s="6">
        <v>1</v>
      </c>
      <c r="I52" s="22">
        <f t="shared" si="6"/>
        <v>75</v>
      </c>
      <c r="J52" s="6" t="s">
        <v>82</v>
      </c>
      <c r="K52" s="6">
        <v>2</v>
      </c>
      <c r="L52" s="6" t="s">
        <v>85</v>
      </c>
      <c r="M52" s="6" t="s">
        <v>88</v>
      </c>
      <c r="N52" s="6"/>
      <c r="O52" s="6" t="s">
        <v>90</v>
      </c>
      <c r="P52" s="6" t="s">
        <v>92</v>
      </c>
      <c r="Q52" s="6" t="s">
        <v>91</v>
      </c>
      <c r="R52" s="6" t="s">
        <v>94</v>
      </c>
      <c r="S52" s="6" t="s">
        <v>95</v>
      </c>
      <c r="T52" s="3" t="s">
        <v>120</v>
      </c>
      <c r="U52" s="6" t="s">
        <v>96</v>
      </c>
      <c r="V52" s="23">
        <v>46105</v>
      </c>
      <c r="W52" s="23">
        <v>46213</v>
      </c>
      <c r="X52" s="23" t="s">
        <v>101</v>
      </c>
      <c r="Y52" s="100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>
        <v>15</v>
      </c>
      <c r="AZ52" s="24">
        <v>15</v>
      </c>
      <c r="BA52" s="24">
        <v>15</v>
      </c>
      <c r="BB52" s="24">
        <v>15</v>
      </c>
      <c r="BC52" s="24">
        <v>15</v>
      </c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</row>
    <row r="53" spans="1:193" ht="18">
      <c r="A53" s="6" t="s">
        <v>99</v>
      </c>
      <c r="B53" s="6" t="s">
        <v>110</v>
      </c>
      <c r="C53" s="6"/>
      <c r="D53" s="6" t="s">
        <v>74</v>
      </c>
      <c r="E53" s="6" t="s">
        <v>68</v>
      </c>
      <c r="F53" s="6"/>
      <c r="G53" s="6" t="s">
        <v>76</v>
      </c>
      <c r="H53" s="6">
        <v>1</v>
      </c>
      <c r="I53" s="22">
        <f t="shared" si="6"/>
        <v>75</v>
      </c>
      <c r="J53" s="6" t="s">
        <v>82</v>
      </c>
      <c r="K53" s="6">
        <v>2</v>
      </c>
      <c r="L53" s="6" t="s">
        <v>85</v>
      </c>
      <c r="M53" s="6" t="s">
        <v>88</v>
      </c>
      <c r="N53" s="6"/>
      <c r="O53" s="6" t="s">
        <v>90</v>
      </c>
      <c r="P53" s="6" t="s">
        <v>92</v>
      </c>
      <c r="Q53" s="6" t="s">
        <v>91</v>
      </c>
      <c r="R53" s="6" t="s">
        <v>94</v>
      </c>
      <c r="S53" s="6" t="s">
        <v>95</v>
      </c>
      <c r="T53" s="3" t="s">
        <v>120</v>
      </c>
      <c r="U53" s="6" t="s">
        <v>96</v>
      </c>
      <c r="V53" s="23">
        <v>46090</v>
      </c>
      <c r="W53" s="23">
        <v>46213</v>
      </c>
      <c r="X53" s="23" t="s">
        <v>101</v>
      </c>
      <c r="Y53" s="100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>
        <v>15</v>
      </c>
      <c r="AZ53" s="24">
        <v>15</v>
      </c>
      <c r="BA53" s="24">
        <v>15</v>
      </c>
      <c r="BB53" s="24">
        <v>15</v>
      </c>
      <c r="BC53" s="24">
        <v>15</v>
      </c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</row>
    <row r="54" spans="1:193" ht="18">
      <c r="A54" s="6" t="s">
        <v>99</v>
      </c>
      <c r="B54" s="6" t="s">
        <v>109</v>
      </c>
      <c r="C54" s="6"/>
      <c r="D54" s="6" t="s">
        <v>74</v>
      </c>
      <c r="E54" s="6" t="s">
        <v>68</v>
      </c>
      <c r="F54" s="6"/>
      <c r="G54" s="6" t="s">
        <v>76</v>
      </c>
      <c r="H54" s="6">
        <v>1</v>
      </c>
      <c r="I54" s="22">
        <f t="shared" si="6"/>
        <v>75</v>
      </c>
      <c r="J54" s="6" t="s">
        <v>82</v>
      </c>
      <c r="K54" s="6">
        <v>2</v>
      </c>
      <c r="L54" s="6" t="s">
        <v>85</v>
      </c>
      <c r="M54" s="6" t="s">
        <v>88</v>
      </c>
      <c r="N54" s="6"/>
      <c r="O54" s="6" t="s">
        <v>90</v>
      </c>
      <c r="P54" s="6" t="s">
        <v>92</v>
      </c>
      <c r="Q54" s="6" t="s">
        <v>91</v>
      </c>
      <c r="R54" s="6" t="s">
        <v>94</v>
      </c>
      <c r="S54" s="6" t="s">
        <v>95</v>
      </c>
      <c r="T54" s="3" t="s">
        <v>120</v>
      </c>
      <c r="U54" s="6" t="s">
        <v>96</v>
      </c>
      <c r="V54" s="23">
        <v>46104</v>
      </c>
      <c r="W54" s="23">
        <v>46213</v>
      </c>
      <c r="X54" s="23" t="s">
        <v>101</v>
      </c>
      <c r="Y54" s="100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>
        <v>15</v>
      </c>
      <c r="AZ54" s="24">
        <v>15</v>
      </c>
      <c r="BA54" s="24">
        <v>15</v>
      </c>
      <c r="BB54" s="24">
        <v>15</v>
      </c>
      <c r="BC54" s="24">
        <v>15</v>
      </c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</row>
    <row r="55" spans="1:193" ht="18">
      <c r="A55" s="6" t="s">
        <v>99</v>
      </c>
      <c r="B55" s="6" t="s">
        <v>108</v>
      </c>
      <c r="C55" s="6"/>
      <c r="D55" s="6" t="s">
        <v>74</v>
      </c>
      <c r="E55" s="6" t="s">
        <v>68</v>
      </c>
      <c r="F55" s="6"/>
      <c r="G55" s="6" t="s">
        <v>81</v>
      </c>
      <c r="H55" s="6">
        <v>3</v>
      </c>
      <c r="I55" s="22">
        <f t="shared" si="6"/>
        <v>225</v>
      </c>
      <c r="J55" s="6" t="s">
        <v>82</v>
      </c>
      <c r="K55" s="6">
        <v>2</v>
      </c>
      <c r="L55" s="6" t="s">
        <v>85</v>
      </c>
      <c r="M55" s="6" t="s">
        <v>88</v>
      </c>
      <c r="N55" s="6"/>
      <c r="O55" s="6" t="s">
        <v>90</v>
      </c>
      <c r="P55" s="6" t="s">
        <v>92</v>
      </c>
      <c r="Q55" s="6" t="s">
        <v>91</v>
      </c>
      <c r="R55" s="6" t="s">
        <v>94</v>
      </c>
      <c r="S55" s="6" t="s">
        <v>95</v>
      </c>
      <c r="T55" s="3" t="s">
        <v>120</v>
      </c>
      <c r="U55" s="6" t="s">
        <v>96</v>
      </c>
      <c r="V55" s="23">
        <v>46105</v>
      </c>
      <c r="W55" s="23">
        <v>46213</v>
      </c>
      <c r="X55" s="23" t="s">
        <v>101</v>
      </c>
      <c r="Y55" s="100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>
        <v>20</v>
      </c>
      <c r="AZ55" s="24">
        <v>20</v>
      </c>
      <c r="BA55" s="24">
        <v>20</v>
      </c>
      <c r="BB55" s="24">
        <v>20</v>
      </c>
      <c r="BC55" s="24">
        <v>20</v>
      </c>
      <c r="BD55" s="24">
        <v>20</v>
      </c>
      <c r="BE55" s="24">
        <v>20</v>
      </c>
      <c r="BF55" s="24">
        <v>20</v>
      </c>
      <c r="BG55" s="24">
        <v>20</v>
      </c>
      <c r="BH55" s="24">
        <v>20</v>
      </c>
      <c r="BI55" s="24">
        <v>20</v>
      </c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</row>
    <row r="56" spans="1:193" ht="18">
      <c r="A56" s="6" t="s">
        <v>99</v>
      </c>
      <c r="B56" s="6" t="s">
        <v>119</v>
      </c>
      <c r="C56" s="6"/>
      <c r="D56" s="6" t="s">
        <v>74</v>
      </c>
      <c r="E56" s="6" t="s">
        <v>68</v>
      </c>
      <c r="F56" s="6"/>
      <c r="G56" s="6" t="s">
        <v>76</v>
      </c>
      <c r="H56" s="6">
        <v>1</v>
      </c>
      <c r="I56" s="22">
        <f t="shared" si="6"/>
        <v>75</v>
      </c>
      <c r="J56" s="6" t="s">
        <v>82</v>
      </c>
      <c r="K56" s="6">
        <v>2</v>
      </c>
      <c r="L56" s="6" t="s">
        <v>85</v>
      </c>
      <c r="M56" s="6" t="s">
        <v>88</v>
      </c>
      <c r="N56" s="6"/>
      <c r="O56" s="6" t="s">
        <v>90</v>
      </c>
      <c r="P56" s="6" t="s">
        <v>92</v>
      </c>
      <c r="Q56" s="6" t="s">
        <v>91</v>
      </c>
      <c r="R56" s="6" t="s">
        <v>94</v>
      </c>
      <c r="S56" s="6" t="s">
        <v>95</v>
      </c>
      <c r="T56" s="3" t="s">
        <v>120</v>
      </c>
      <c r="U56" s="6" t="s">
        <v>96</v>
      </c>
      <c r="V56" s="23">
        <v>46119</v>
      </c>
      <c r="W56" s="23">
        <v>46223</v>
      </c>
      <c r="X56" s="23" t="s">
        <v>101</v>
      </c>
      <c r="Y56" s="100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>
        <v>15</v>
      </c>
      <c r="BJ56" s="24">
        <v>15</v>
      </c>
      <c r="BK56" s="24">
        <v>15</v>
      </c>
      <c r="BL56" s="24">
        <v>15</v>
      </c>
      <c r="BM56" s="24">
        <v>15</v>
      </c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</row>
    <row r="57" spans="1:193" ht="18">
      <c r="A57" s="6" t="s">
        <v>99</v>
      </c>
      <c r="B57" s="6" t="s">
        <v>105</v>
      </c>
      <c r="C57" s="6"/>
      <c r="D57" s="6" t="s">
        <v>74</v>
      </c>
      <c r="E57" s="6" t="s">
        <v>68</v>
      </c>
      <c r="F57" s="6"/>
      <c r="G57" s="6" t="s">
        <v>76</v>
      </c>
      <c r="H57" s="6">
        <v>1.5</v>
      </c>
      <c r="I57" s="22">
        <f t="shared" si="6"/>
        <v>112.5</v>
      </c>
      <c r="J57" s="6" t="s">
        <v>84</v>
      </c>
      <c r="K57" s="6">
        <f t="shared" si="1"/>
        <v>1.7999999999999998</v>
      </c>
      <c r="L57" s="6" t="s">
        <v>85</v>
      </c>
      <c r="M57" s="6" t="s">
        <v>88</v>
      </c>
      <c r="N57" s="6"/>
      <c r="O57" s="6" t="s">
        <v>90</v>
      </c>
      <c r="P57" s="6" t="s">
        <v>92</v>
      </c>
      <c r="Q57" s="6" t="s">
        <v>91</v>
      </c>
      <c r="R57" s="6" t="s">
        <v>94</v>
      </c>
      <c r="S57" s="6" t="s">
        <v>95</v>
      </c>
      <c r="T57" s="3" t="s">
        <v>120</v>
      </c>
      <c r="U57" s="6" t="s">
        <v>96</v>
      </c>
      <c r="V57" s="23">
        <v>46108</v>
      </c>
      <c r="W57" s="23">
        <v>46218</v>
      </c>
      <c r="X57" s="23" t="s">
        <v>101</v>
      </c>
      <c r="Y57" s="100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>
        <v>20</v>
      </c>
      <c r="BE57" s="24">
        <v>20</v>
      </c>
      <c r="BF57" s="24">
        <v>20</v>
      </c>
      <c r="BG57" s="24">
        <v>20</v>
      </c>
      <c r="BH57" s="24">
        <v>20</v>
      </c>
      <c r="BI57" s="24">
        <v>10</v>
      </c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</row>
    <row r="58" spans="1:193" ht="18">
      <c r="A58" s="6" t="s">
        <v>99</v>
      </c>
      <c r="B58" s="7" t="s">
        <v>106</v>
      </c>
      <c r="C58" s="6"/>
      <c r="D58" s="6" t="s">
        <v>74</v>
      </c>
      <c r="E58" s="6" t="s">
        <v>68</v>
      </c>
      <c r="F58" s="6"/>
      <c r="G58" s="6" t="s">
        <v>76</v>
      </c>
      <c r="H58" s="21">
        <v>2</v>
      </c>
      <c r="I58" s="22">
        <f t="shared" si="6"/>
        <v>150</v>
      </c>
      <c r="J58" s="6" t="s">
        <v>82</v>
      </c>
      <c r="K58" s="6">
        <f t="shared" si="1"/>
        <v>2.4</v>
      </c>
      <c r="L58" s="6" t="s">
        <v>85</v>
      </c>
      <c r="M58" s="6" t="s">
        <v>88</v>
      </c>
      <c r="N58" s="6"/>
      <c r="O58" s="6" t="s">
        <v>90</v>
      </c>
      <c r="P58" s="6" t="s">
        <v>92</v>
      </c>
      <c r="Q58" s="6" t="s">
        <v>91</v>
      </c>
      <c r="R58" s="6" t="s">
        <v>94</v>
      </c>
      <c r="S58" s="6" t="s">
        <v>95</v>
      </c>
      <c r="T58" s="3" t="s">
        <v>120</v>
      </c>
      <c r="U58" s="6" t="s">
        <v>96</v>
      </c>
      <c r="V58" s="23">
        <v>46081</v>
      </c>
      <c r="W58" s="23">
        <v>46208</v>
      </c>
      <c r="X58" s="23" t="s">
        <v>101</v>
      </c>
      <c r="Y58" s="100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>
        <v>15</v>
      </c>
      <c r="AU58" s="24">
        <v>15</v>
      </c>
      <c r="AV58" s="24">
        <v>15</v>
      </c>
      <c r="AW58" s="24">
        <v>15</v>
      </c>
      <c r="AX58" s="24">
        <v>15</v>
      </c>
      <c r="AY58" s="24">
        <v>15</v>
      </c>
      <c r="AZ58" s="24">
        <v>15</v>
      </c>
      <c r="BA58" s="24">
        <v>15</v>
      </c>
      <c r="BB58" s="24">
        <v>15</v>
      </c>
      <c r="BC58" s="24">
        <v>15</v>
      </c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</row>
    <row r="59" spans="1:193" ht="18">
      <c r="A59" s="6" t="s">
        <v>99</v>
      </c>
      <c r="B59" s="7" t="s">
        <v>107</v>
      </c>
      <c r="C59" s="6"/>
      <c r="D59" s="6" t="s">
        <v>74</v>
      </c>
      <c r="E59" s="6" t="s">
        <v>68</v>
      </c>
      <c r="F59" s="6"/>
      <c r="G59" s="6" t="s">
        <v>76</v>
      </c>
      <c r="H59" s="21">
        <v>1.5</v>
      </c>
      <c r="I59" s="22">
        <f t="shared" si="6"/>
        <v>112.5</v>
      </c>
      <c r="J59" s="6" t="s">
        <v>82</v>
      </c>
      <c r="K59" s="6">
        <f t="shared" si="1"/>
        <v>1.7999999999999998</v>
      </c>
      <c r="L59" s="6" t="s">
        <v>85</v>
      </c>
      <c r="M59" s="6" t="s">
        <v>88</v>
      </c>
      <c r="N59" s="6"/>
      <c r="O59" s="6" t="s">
        <v>90</v>
      </c>
      <c r="P59" s="6" t="s">
        <v>92</v>
      </c>
      <c r="Q59" s="6" t="s">
        <v>91</v>
      </c>
      <c r="R59" s="6" t="s">
        <v>94</v>
      </c>
      <c r="S59" s="6" t="s">
        <v>95</v>
      </c>
      <c r="T59" s="3" t="s">
        <v>120</v>
      </c>
      <c r="U59" s="6" t="s">
        <v>96</v>
      </c>
      <c r="V59" s="23">
        <v>46099</v>
      </c>
      <c r="W59" s="23">
        <v>46218</v>
      </c>
      <c r="X59" s="23" t="s">
        <v>101</v>
      </c>
      <c r="Y59" s="100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>
        <v>15</v>
      </c>
      <c r="BE59" s="24">
        <v>15</v>
      </c>
      <c r="BF59" s="24">
        <v>15</v>
      </c>
      <c r="BG59" s="24">
        <v>15</v>
      </c>
      <c r="BH59" s="24">
        <v>15</v>
      </c>
      <c r="BI59" s="24">
        <v>15</v>
      </c>
      <c r="BJ59" s="24">
        <v>15</v>
      </c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</row>
    <row r="60" spans="1:193" ht="18">
      <c r="A60" s="6" t="s">
        <v>99</v>
      </c>
      <c r="B60" s="7" t="s">
        <v>59</v>
      </c>
      <c r="C60" s="6"/>
      <c r="D60" s="6" t="s">
        <v>74</v>
      </c>
      <c r="E60" s="6" t="s">
        <v>68</v>
      </c>
      <c r="F60" s="6"/>
      <c r="G60" s="6" t="s">
        <v>76</v>
      </c>
      <c r="H60" s="21">
        <v>2</v>
      </c>
      <c r="I60" s="22">
        <f t="shared" ref="I60:I61" si="7">H60*75</f>
        <v>150</v>
      </c>
      <c r="J60" s="6" t="s">
        <v>82</v>
      </c>
      <c r="K60" s="6">
        <v>3</v>
      </c>
      <c r="L60" s="6" t="s">
        <v>85</v>
      </c>
      <c r="M60" s="6" t="s">
        <v>88</v>
      </c>
      <c r="N60" s="6"/>
      <c r="O60" s="6" t="s">
        <v>90</v>
      </c>
      <c r="P60" s="6" t="s">
        <v>92</v>
      </c>
      <c r="Q60" s="6" t="s">
        <v>91</v>
      </c>
      <c r="R60" s="6" t="s">
        <v>94</v>
      </c>
      <c r="S60" s="6" t="s">
        <v>95</v>
      </c>
      <c r="T60" s="3" t="s">
        <v>120</v>
      </c>
      <c r="U60" s="6" t="s">
        <v>96</v>
      </c>
      <c r="V60" s="23">
        <v>46068</v>
      </c>
      <c r="W60" s="23">
        <v>46212</v>
      </c>
      <c r="X60" s="23" t="s">
        <v>101</v>
      </c>
      <c r="Y60" s="100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>
        <v>15</v>
      </c>
      <c r="AY60" s="24">
        <v>15</v>
      </c>
      <c r="AZ60" s="24">
        <v>15</v>
      </c>
      <c r="BA60" s="24">
        <v>15</v>
      </c>
      <c r="BB60" s="24">
        <v>15</v>
      </c>
      <c r="BC60" s="24">
        <v>15</v>
      </c>
      <c r="BD60" s="24">
        <v>15</v>
      </c>
      <c r="BE60" s="24">
        <v>15</v>
      </c>
      <c r="BF60" s="24">
        <v>15</v>
      </c>
      <c r="BG60" s="24">
        <v>15</v>
      </c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</row>
    <row r="61" spans="1:193" ht="18">
      <c r="A61" s="6" t="s">
        <v>99</v>
      </c>
      <c r="B61" s="7" t="s">
        <v>60</v>
      </c>
      <c r="C61" s="6"/>
      <c r="D61" s="6" t="s">
        <v>74</v>
      </c>
      <c r="E61" s="6" t="s">
        <v>68</v>
      </c>
      <c r="F61" s="6"/>
      <c r="G61" s="6" t="s">
        <v>76</v>
      </c>
      <c r="H61" s="21">
        <v>2.5</v>
      </c>
      <c r="I61" s="22">
        <f t="shared" si="7"/>
        <v>187.5</v>
      </c>
      <c r="J61" s="6" t="s">
        <v>82</v>
      </c>
      <c r="K61" s="6">
        <f t="shared" si="1"/>
        <v>3</v>
      </c>
      <c r="L61" s="6" t="s">
        <v>85</v>
      </c>
      <c r="M61" s="6" t="s">
        <v>88</v>
      </c>
      <c r="N61" s="6"/>
      <c r="O61" s="6" t="s">
        <v>90</v>
      </c>
      <c r="P61" s="6" t="s">
        <v>92</v>
      </c>
      <c r="Q61" s="6" t="s">
        <v>91</v>
      </c>
      <c r="R61" s="6" t="s">
        <v>94</v>
      </c>
      <c r="S61" s="6" t="s">
        <v>95</v>
      </c>
      <c r="T61" s="3" t="s">
        <v>120</v>
      </c>
      <c r="U61" s="6" t="s">
        <v>96</v>
      </c>
      <c r="V61" s="23">
        <v>46068</v>
      </c>
      <c r="W61" s="23">
        <v>907</v>
      </c>
      <c r="X61" s="23" t="s">
        <v>101</v>
      </c>
      <c r="Y61" s="100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>
        <v>15</v>
      </c>
      <c r="AY61" s="24">
        <v>15</v>
      </c>
      <c r="AZ61" s="24">
        <v>15</v>
      </c>
      <c r="BA61" s="24">
        <v>15</v>
      </c>
      <c r="BB61" s="24">
        <v>15</v>
      </c>
      <c r="BC61" s="24">
        <v>15</v>
      </c>
      <c r="BD61" s="24">
        <v>15</v>
      </c>
      <c r="BE61" s="24">
        <v>15</v>
      </c>
      <c r="BF61" s="24">
        <v>15</v>
      </c>
      <c r="BG61" s="24">
        <v>15</v>
      </c>
      <c r="BH61" s="24">
        <v>15</v>
      </c>
      <c r="BI61" s="24">
        <v>15</v>
      </c>
      <c r="BJ61" s="24">
        <v>10</v>
      </c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</row>
    <row r="62" spans="1:193" s="9" customFormat="1" ht="18">
      <c r="A62" s="6" t="s">
        <v>99</v>
      </c>
      <c r="B62" s="7" t="s">
        <v>61</v>
      </c>
      <c r="C62" s="6"/>
      <c r="D62" s="6" t="s">
        <v>74</v>
      </c>
      <c r="E62" s="6" t="s">
        <v>69</v>
      </c>
      <c r="F62" s="6"/>
      <c r="G62" s="6" t="s">
        <v>76</v>
      </c>
      <c r="H62" s="21">
        <v>15</v>
      </c>
      <c r="I62" s="33">
        <f>+H62*60</f>
        <v>900</v>
      </c>
      <c r="J62" s="6" t="s">
        <v>82</v>
      </c>
      <c r="K62" s="6"/>
      <c r="L62" s="6" t="s">
        <v>87</v>
      </c>
      <c r="M62" s="6" t="s">
        <v>88</v>
      </c>
      <c r="N62" s="6"/>
      <c r="O62" s="6" t="s">
        <v>90</v>
      </c>
      <c r="P62" s="6" t="s">
        <v>92</v>
      </c>
      <c r="Q62" s="6" t="s">
        <v>91</v>
      </c>
      <c r="R62" s="6" t="s">
        <v>94</v>
      </c>
      <c r="S62" s="6" t="s">
        <v>95</v>
      </c>
      <c r="T62" s="3" t="s">
        <v>120</v>
      </c>
      <c r="U62" s="6" t="s">
        <v>96</v>
      </c>
      <c r="V62" s="23">
        <v>46073</v>
      </c>
      <c r="W62" s="23">
        <v>46212</v>
      </c>
      <c r="X62" s="23" t="s">
        <v>103</v>
      </c>
      <c r="Y62" s="100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</row>
    <row r="63" spans="1:193" s="9" customFormat="1" ht="18">
      <c r="A63" s="6" t="s">
        <v>99</v>
      </c>
      <c r="B63" s="7" t="s">
        <v>61</v>
      </c>
      <c r="C63" s="6"/>
      <c r="D63" s="6" t="s">
        <v>74</v>
      </c>
      <c r="E63" s="6" t="s">
        <v>69</v>
      </c>
      <c r="F63" s="6"/>
      <c r="G63" s="6" t="s">
        <v>76</v>
      </c>
      <c r="H63" s="21">
        <v>35</v>
      </c>
      <c r="I63" s="33">
        <f>+H63*60</f>
        <v>2100</v>
      </c>
      <c r="J63" s="6"/>
      <c r="K63" s="6"/>
      <c r="L63" s="6"/>
      <c r="M63" s="6"/>
      <c r="N63" s="6"/>
      <c r="O63" s="6"/>
      <c r="P63" s="6" t="s">
        <v>92</v>
      </c>
      <c r="Q63" s="6" t="s">
        <v>91</v>
      </c>
      <c r="R63" s="6" t="s">
        <v>94</v>
      </c>
      <c r="S63" s="6" t="s">
        <v>95</v>
      </c>
      <c r="T63" s="3" t="s">
        <v>120</v>
      </c>
      <c r="U63" s="6" t="s">
        <v>96</v>
      </c>
      <c r="V63" s="23">
        <v>46073</v>
      </c>
      <c r="W63" s="23">
        <v>46212</v>
      </c>
      <c r="X63" s="23" t="s">
        <v>102</v>
      </c>
      <c r="Y63" s="100">
        <v>5000</v>
      </c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>
        <v>40</v>
      </c>
      <c r="AY63" s="24">
        <v>40</v>
      </c>
      <c r="AZ63" s="24">
        <v>40</v>
      </c>
      <c r="BA63" s="24">
        <v>40</v>
      </c>
      <c r="BB63" s="24">
        <v>40</v>
      </c>
      <c r="BC63" s="24">
        <v>40</v>
      </c>
      <c r="BD63" s="24">
        <v>40</v>
      </c>
      <c r="BE63" s="24">
        <v>40</v>
      </c>
      <c r="BF63" s="24">
        <v>40</v>
      </c>
      <c r="BG63" s="24">
        <v>80</v>
      </c>
      <c r="BH63" s="24">
        <v>80</v>
      </c>
      <c r="BI63" s="24">
        <v>80</v>
      </c>
      <c r="BJ63" s="24">
        <v>80</v>
      </c>
      <c r="BK63" s="24">
        <v>80</v>
      </c>
      <c r="BL63" s="24">
        <v>120</v>
      </c>
      <c r="BM63" s="24">
        <v>120</v>
      </c>
      <c r="BN63" s="24">
        <v>120</v>
      </c>
      <c r="BO63" s="24">
        <v>120</v>
      </c>
      <c r="BP63" s="24">
        <v>120</v>
      </c>
      <c r="BQ63" s="24">
        <v>120</v>
      </c>
      <c r="BR63" s="24">
        <v>120</v>
      </c>
      <c r="BS63" s="24">
        <v>120</v>
      </c>
      <c r="BT63" s="24">
        <v>120</v>
      </c>
      <c r="BU63" s="24">
        <v>120</v>
      </c>
      <c r="BV63" s="24">
        <v>120</v>
      </c>
      <c r="BW63" s="24">
        <v>120</v>
      </c>
      <c r="BX63" s="24">
        <v>120</v>
      </c>
      <c r="BY63" s="24">
        <v>120</v>
      </c>
      <c r="BZ63" s="24">
        <v>120</v>
      </c>
      <c r="CA63" s="24">
        <v>120</v>
      </c>
      <c r="CB63" s="24">
        <v>70</v>
      </c>
      <c r="CC63" s="24">
        <v>50</v>
      </c>
      <c r="CD63" s="24">
        <v>50</v>
      </c>
      <c r="CE63" s="24">
        <v>50</v>
      </c>
      <c r="CF63" s="24">
        <v>50</v>
      </c>
      <c r="CG63" s="24">
        <v>50</v>
      </c>
      <c r="CH63" s="24"/>
      <c r="CI63" s="24"/>
      <c r="CJ63" s="24"/>
      <c r="CK63" s="24"/>
      <c r="CL63" s="24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</row>
    <row r="64" spans="1:193" ht="18">
      <c r="A64" s="6" t="s">
        <v>99</v>
      </c>
      <c r="B64" s="7" t="s">
        <v>62</v>
      </c>
      <c r="C64" s="6"/>
      <c r="D64" s="6" t="s">
        <v>74</v>
      </c>
      <c r="E64" s="6" t="s">
        <v>70</v>
      </c>
      <c r="F64" s="6"/>
      <c r="G64" s="6" t="s">
        <v>76</v>
      </c>
      <c r="H64" s="21">
        <v>11</v>
      </c>
      <c r="I64" s="33">
        <f>11*50</f>
        <v>550</v>
      </c>
      <c r="J64" s="6"/>
      <c r="K64" s="6"/>
      <c r="L64" s="6" t="s">
        <v>87</v>
      </c>
      <c r="M64" s="6" t="s">
        <v>88</v>
      </c>
      <c r="N64" s="6"/>
      <c r="O64" s="6" t="s">
        <v>90</v>
      </c>
      <c r="P64" s="6" t="s">
        <v>92</v>
      </c>
      <c r="Q64" s="6" t="s">
        <v>91</v>
      </c>
      <c r="R64" s="6" t="s">
        <v>94</v>
      </c>
      <c r="S64" s="6" t="s">
        <v>95</v>
      </c>
      <c r="T64" s="3" t="s">
        <v>120</v>
      </c>
      <c r="U64" s="6" t="s">
        <v>96</v>
      </c>
      <c r="V64" s="23">
        <v>46082</v>
      </c>
      <c r="W64" s="23">
        <v>46202</v>
      </c>
      <c r="X64" s="23" t="s">
        <v>363</v>
      </c>
      <c r="Y64" s="100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4"/>
      <c r="AK64" s="24"/>
      <c r="AL64" s="24"/>
      <c r="AM64" s="24"/>
      <c r="AN64" s="24">
        <v>40</v>
      </c>
      <c r="AO64" s="24">
        <v>60</v>
      </c>
      <c r="AP64" s="24">
        <v>60</v>
      </c>
      <c r="AQ64" s="24">
        <v>60</v>
      </c>
      <c r="AR64" s="24">
        <v>60</v>
      </c>
      <c r="AS64" s="24">
        <v>60</v>
      </c>
      <c r="AT64" s="24">
        <v>60</v>
      </c>
      <c r="AU64" s="24">
        <v>60</v>
      </c>
      <c r="AV64" s="24">
        <v>60</v>
      </c>
      <c r="AW64" s="24">
        <v>60</v>
      </c>
      <c r="AX64" s="24">
        <v>60</v>
      </c>
      <c r="AY64" s="24">
        <v>60</v>
      </c>
      <c r="AZ64" s="24">
        <v>60</v>
      </c>
      <c r="BA64" s="24">
        <v>40</v>
      </c>
      <c r="BB64" s="24">
        <v>40</v>
      </c>
      <c r="BC64" s="24">
        <v>40</v>
      </c>
      <c r="BD64" s="24">
        <v>40</v>
      </c>
      <c r="BE64" s="24">
        <v>40</v>
      </c>
      <c r="BF64" s="24">
        <v>40</v>
      </c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</row>
    <row r="65" spans="1:90" ht="18">
      <c r="A65" s="6" t="s">
        <v>99</v>
      </c>
      <c r="B65" s="7" t="s">
        <v>62</v>
      </c>
      <c r="C65" s="6"/>
      <c r="D65" s="6" t="s">
        <v>74</v>
      </c>
      <c r="E65" s="6" t="s">
        <v>70</v>
      </c>
      <c r="F65" s="6"/>
      <c r="G65" s="6" t="s">
        <v>76</v>
      </c>
      <c r="H65" s="21">
        <v>9</v>
      </c>
      <c r="I65" s="33">
        <f>+H65*50</f>
        <v>450</v>
      </c>
      <c r="J65" s="6"/>
      <c r="K65" s="6"/>
      <c r="L65" s="6"/>
      <c r="M65" s="6"/>
      <c r="N65" s="6"/>
      <c r="O65" s="6"/>
      <c r="P65" s="6" t="s">
        <v>92</v>
      </c>
      <c r="Q65" s="6" t="s">
        <v>91</v>
      </c>
      <c r="R65" s="6" t="s">
        <v>94</v>
      </c>
      <c r="S65" s="6" t="s">
        <v>95</v>
      </c>
      <c r="T65" s="3" t="s">
        <v>120</v>
      </c>
      <c r="U65" s="6" t="s">
        <v>96</v>
      </c>
      <c r="V65" s="23">
        <v>46082</v>
      </c>
      <c r="W65" s="23">
        <v>46202</v>
      </c>
      <c r="X65" s="99" t="s">
        <v>396</v>
      </c>
      <c r="Y65" s="100">
        <v>3000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</row>
    <row r="66" spans="1:90" ht="18">
      <c r="A66" s="6" t="s">
        <v>99</v>
      </c>
      <c r="B66" s="7" t="s">
        <v>63</v>
      </c>
      <c r="C66" s="6"/>
      <c r="D66" s="6" t="s">
        <v>74</v>
      </c>
      <c r="E66" s="6" t="s">
        <v>71</v>
      </c>
      <c r="F66" s="6"/>
      <c r="G66" s="6" t="s">
        <v>76</v>
      </c>
      <c r="H66" s="21">
        <v>60</v>
      </c>
      <c r="I66" s="33">
        <f>+H66*50</f>
        <v>3000</v>
      </c>
      <c r="J66" s="6" t="s">
        <v>83</v>
      </c>
      <c r="K66" s="6"/>
      <c r="L66" s="6" t="s">
        <v>87</v>
      </c>
      <c r="M66" s="6" t="s">
        <v>88</v>
      </c>
      <c r="N66" s="6"/>
      <c r="O66" s="6" t="s">
        <v>90</v>
      </c>
      <c r="P66" s="6" t="s">
        <v>92</v>
      </c>
      <c r="Q66" s="6" t="s">
        <v>91</v>
      </c>
      <c r="R66" s="6" t="s">
        <v>94</v>
      </c>
      <c r="S66" s="6" t="s">
        <v>95</v>
      </c>
      <c r="T66" s="3" t="s">
        <v>120</v>
      </c>
      <c r="U66" s="6" t="s">
        <v>98</v>
      </c>
      <c r="V66" s="23">
        <v>46073</v>
      </c>
      <c r="W66" s="23">
        <v>46198</v>
      </c>
      <c r="X66" s="23" t="s">
        <v>102</v>
      </c>
      <c r="Y66" s="100">
        <v>10000</v>
      </c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>
        <v>80</v>
      </c>
      <c r="AK66" s="24">
        <v>100</v>
      </c>
      <c r="AL66" s="24">
        <v>100</v>
      </c>
      <c r="AM66" s="24">
        <v>100</v>
      </c>
      <c r="AN66" s="24">
        <v>100</v>
      </c>
      <c r="AO66" s="24">
        <v>100</v>
      </c>
      <c r="AP66" s="24">
        <v>100</v>
      </c>
      <c r="AQ66" s="24">
        <v>100</v>
      </c>
      <c r="AR66" s="24">
        <v>100</v>
      </c>
      <c r="AS66" s="24">
        <v>100</v>
      </c>
      <c r="AT66" s="24">
        <v>100</v>
      </c>
      <c r="AU66" s="24">
        <v>100</v>
      </c>
      <c r="AV66" s="24">
        <v>150</v>
      </c>
      <c r="AW66" s="24">
        <v>150</v>
      </c>
      <c r="AX66" s="24">
        <v>150</v>
      </c>
      <c r="AY66" s="24">
        <v>150</v>
      </c>
      <c r="AZ66" s="24">
        <v>150</v>
      </c>
      <c r="BA66" s="24">
        <v>150</v>
      </c>
      <c r="BB66" s="24">
        <v>150</v>
      </c>
      <c r="BC66" s="24">
        <v>150</v>
      </c>
      <c r="BD66" s="24">
        <v>100</v>
      </c>
      <c r="BE66" s="24">
        <v>100</v>
      </c>
      <c r="BF66" s="24">
        <v>100</v>
      </c>
      <c r="BG66" s="24">
        <v>100</v>
      </c>
      <c r="BH66" s="24">
        <v>50</v>
      </c>
      <c r="BI66" s="24">
        <v>50</v>
      </c>
      <c r="BJ66" s="24">
        <v>50</v>
      </c>
      <c r="BK66" s="24">
        <v>50</v>
      </c>
      <c r="BL66" s="24">
        <v>50</v>
      </c>
      <c r="BM66" s="24">
        <v>20</v>
      </c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</row>
    <row r="67" spans="1:90" ht="18">
      <c r="A67" s="6" t="s">
        <v>99</v>
      </c>
      <c r="B67" s="7" t="s">
        <v>63</v>
      </c>
      <c r="C67" s="6"/>
      <c r="D67" s="6" t="s">
        <v>74</v>
      </c>
      <c r="E67" s="6" t="s">
        <v>71</v>
      </c>
      <c r="F67" s="6"/>
      <c r="G67" s="6" t="s">
        <v>76</v>
      </c>
      <c r="H67" s="21">
        <v>30</v>
      </c>
      <c r="I67" s="33">
        <f>+H67*50</f>
        <v>1500</v>
      </c>
      <c r="J67" s="6"/>
      <c r="K67" s="6"/>
      <c r="L67" s="6"/>
      <c r="M67" s="6"/>
      <c r="N67" s="6"/>
      <c r="O67" s="6"/>
      <c r="P67" s="6" t="s">
        <v>92</v>
      </c>
      <c r="Q67" s="6" t="s">
        <v>91</v>
      </c>
      <c r="R67" s="6" t="s">
        <v>94</v>
      </c>
      <c r="S67" s="6" t="s">
        <v>95</v>
      </c>
      <c r="T67" s="3" t="s">
        <v>120</v>
      </c>
      <c r="U67" s="6" t="s">
        <v>98</v>
      </c>
      <c r="V67" s="23">
        <v>46073</v>
      </c>
      <c r="W67" s="23">
        <v>46198</v>
      </c>
      <c r="X67" s="23" t="s">
        <v>103</v>
      </c>
      <c r="Y67" s="100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</row>
    <row r="68" spans="1:90" ht="18">
      <c r="A68" s="6" t="s">
        <v>99</v>
      </c>
      <c r="B68" s="6" t="s">
        <v>64</v>
      </c>
      <c r="C68" s="6"/>
      <c r="D68" s="6" t="s">
        <v>74</v>
      </c>
      <c r="E68" s="6" t="s">
        <v>70</v>
      </c>
      <c r="F68" s="6"/>
      <c r="G68" s="6" t="s">
        <v>76</v>
      </c>
      <c r="H68" s="6">
        <v>6</v>
      </c>
      <c r="I68" s="33">
        <v>300</v>
      </c>
      <c r="J68" s="6" t="s">
        <v>83</v>
      </c>
      <c r="K68" s="6"/>
      <c r="L68" s="6" t="s">
        <v>87</v>
      </c>
      <c r="M68" s="6" t="s">
        <v>88</v>
      </c>
      <c r="N68" s="6"/>
      <c r="O68" s="6" t="s">
        <v>90</v>
      </c>
      <c r="P68" s="6" t="s">
        <v>92</v>
      </c>
      <c r="Q68" s="6" t="s">
        <v>91</v>
      </c>
      <c r="R68" s="6" t="s">
        <v>94</v>
      </c>
      <c r="S68" s="6" t="s">
        <v>95</v>
      </c>
      <c r="T68" s="3" t="s">
        <v>120</v>
      </c>
      <c r="U68" s="6" t="s">
        <v>96</v>
      </c>
      <c r="V68" s="23">
        <v>46078</v>
      </c>
      <c r="W68" s="23">
        <v>46204</v>
      </c>
      <c r="X68" s="99" t="s">
        <v>103</v>
      </c>
      <c r="Y68" s="100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4"/>
      <c r="AK68" s="24"/>
      <c r="AL68" s="24"/>
      <c r="AM68" s="24"/>
      <c r="AN68" s="24"/>
      <c r="AO68" s="24"/>
      <c r="AP68" s="24"/>
      <c r="AQ68" s="24">
        <v>40</v>
      </c>
      <c r="AR68" s="24">
        <v>40</v>
      </c>
      <c r="AS68" s="24">
        <v>40</v>
      </c>
      <c r="AT68" s="24">
        <v>40</v>
      </c>
      <c r="AU68" s="24">
        <v>40</v>
      </c>
      <c r="AV68" s="24">
        <v>40</v>
      </c>
      <c r="AW68" s="24">
        <v>40</v>
      </c>
      <c r="AX68" s="24">
        <v>40</v>
      </c>
      <c r="AY68" s="24">
        <v>40</v>
      </c>
      <c r="AZ68" s="24">
        <v>40</v>
      </c>
      <c r="BA68" s="24">
        <v>40</v>
      </c>
      <c r="BB68" s="24">
        <v>40</v>
      </c>
      <c r="BC68" s="24">
        <v>40</v>
      </c>
      <c r="BD68" s="24">
        <v>40</v>
      </c>
      <c r="BE68" s="24">
        <v>40</v>
      </c>
      <c r="BF68" s="24">
        <v>40</v>
      </c>
      <c r="BG68" s="24">
        <v>40</v>
      </c>
      <c r="BH68" s="24">
        <v>40</v>
      </c>
      <c r="BI68" s="24">
        <v>40</v>
      </c>
      <c r="BJ68" s="24">
        <v>40</v>
      </c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</row>
    <row r="69" spans="1:90" ht="18">
      <c r="A69" s="6" t="s">
        <v>99</v>
      </c>
      <c r="B69" s="6" t="s">
        <v>64</v>
      </c>
      <c r="C69" s="6"/>
      <c r="D69" s="6" t="s">
        <v>74</v>
      </c>
      <c r="E69" s="6" t="s">
        <v>70</v>
      </c>
      <c r="F69" s="6"/>
      <c r="G69" s="6" t="s">
        <v>76</v>
      </c>
      <c r="H69" s="6">
        <v>9</v>
      </c>
      <c r="I69" s="33">
        <v>660</v>
      </c>
      <c r="J69" s="6"/>
      <c r="K69" s="6"/>
      <c r="L69" s="6"/>
      <c r="M69" s="6"/>
      <c r="N69" s="6"/>
      <c r="O69" s="6"/>
      <c r="P69" s="6" t="s">
        <v>92</v>
      </c>
      <c r="Q69" s="6" t="s">
        <v>91</v>
      </c>
      <c r="R69" s="6" t="s">
        <v>94</v>
      </c>
      <c r="S69" s="6" t="s">
        <v>95</v>
      </c>
      <c r="T69" s="3" t="s">
        <v>120</v>
      </c>
      <c r="U69" s="6" t="s">
        <v>96</v>
      </c>
      <c r="V69" s="23">
        <v>46078</v>
      </c>
      <c r="W69" s="23">
        <v>46204</v>
      </c>
      <c r="X69" s="23" t="s">
        <v>102</v>
      </c>
      <c r="Y69" s="100">
        <v>2500</v>
      </c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</row>
    <row r="70" spans="1:90" ht="18">
      <c r="A70" s="6" t="s">
        <v>99</v>
      </c>
      <c r="B70" s="6" t="s">
        <v>65</v>
      </c>
      <c r="C70" s="6"/>
      <c r="D70" s="6" t="s">
        <v>74</v>
      </c>
      <c r="E70" s="6" t="s">
        <v>69</v>
      </c>
      <c r="F70" s="6"/>
      <c r="G70" s="6" t="s">
        <v>76</v>
      </c>
      <c r="H70" s="6">
        <v>75</v>
      </c>
      <c r="I70" s="33">
        <f>+H70*60</f>
        <v>4500</v>
      </c>
      <c r="J70" s="6" t="s">
        <v>83</v>
      </c>
      <c r="K70" s="6"/>
      <c r="L70" s="6" t="s">
        <v>87</v>
      </c>
      <c r="M70" s="6" t="s">
        <v>88</v>
      </c>
      <c r="N70" s="6"/>
      <c r="O70" s="6" t="s">
        <v>90</v>
      </c>
      <c r="P70" s="6" t="s">
        <v>92</v>
      </c>
      <c r="Q70" s="6" t="s">
        <v>91</v>
      </c>
      <c r="R70" s="6" t="s">
        <v>94</v>
      </c>
      <c r="S70" s="6" t="s">
        <v>95</v>
      </c>
      <c r="T70" s="3" t="s">
        <v>120</v>
      </c>
      <c r="U70" s="6" t="s">
        <v>96</v>
      </c>
      <c r="V70" s="23">
        <v>46073</v>
      </c>
      <c r="W70" s="23">
        <v>46201</v>
      </c>
      <c r="X70" s="23" t="s">
        <v>102</v>
      </c>
      <c r="Y70" s="100">
        <v>10000</v>
      </c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4"/>
      <c r="AK70" s="24"/>
      <c r="AL70" s="24"/>
      <c r="AM70" s="24">
        <v>40</v>
      </c>
      <c r="AN70" s="24">
        <v>40</v>
      </c>
      <c r="AO70" s="24">
        <v>90</v>
      </c>
      <c r="AP70" s="24">
        <v>90</v>
      </c>
      <c r="AQ70" s="24">
        <v>110</v>
      </c>
      <c r="AR70" s="24">
        <v>130</v>
      </c>
      <c r="AS70" s="24">
        <v>130</v>
      </c>
      <c r="AT70" s="24">
        <v>150</v>
      </c>
      <c r="AU70" s="24">
        <v>150</v>
      </c>
      <c r="AV70" s="24">
        <v>200</v>
      </c>
      <c r="AW70" s="24">
        <v>200</v>
      </c>
      <c r="AX70" s="24">
        <v>200</v>
      </c>
      <c r="AY70" s="24">
        <v>200</v>
      </c>
      <c r="AZ70" s="24">
        <v>200</v>
      </c>
      <c r="BA70" s="24">
        <v>200</v>
      </c>
      <c r="BB70" s="24">
        <v>200</v>
      </c>
      <c r="BC70" s="24">
        <v>200</v>
      </c>
      <c r="BD70" s="24">
        <v>200</v>
      </c>
      <c r="BE70" s="24">
        <v>200</v>
      </c>
      <c r="BF70" s="24">
        <v>200</v>
      </c>
      <c r="BG70" s="24">
        <v>200</v>
      </c>
      <c r="BH70" s="24">
        <v>200</v>
      </c>
      <c r="BI70" s="24">
        <v>200</v>
      </c>
      <c r="BJ70" s="24">
        <v>200</v>
      </c>
      <c r="BK70" s="24">
        <v>200</v>
      </c>
      <c r="BL70" s="24">
        <v>200</v>
      </c>
      <c r="BM70" s="24">
        <v>200</v>
      </c>
      <c r="BN70" s="24">
        <v>200</v>
      </c>
      <c r="BO70" s="24">
        <v>200</v>
      </c>
      <c r="BP70" s="24">
        <v>200</v>
      </c>
      <c r="BQ70" s="24">
        <v>200</v>
      </c>
      <c r="BR70" s="24">
        <v>200</v>
      </c>
      <c r="BS70" s="24">
        <v>150</v>
      </c>
      <c r="BT70" s="24">
        <v>150</v>
      </c>
      <c r="BU70" s="24">
        <v>150</v>
      </c>
      <c r="BV70" s="24">
        <v>150</v>
      </c>
      <c r="BW70" s="24">
        <v>150</v>
      </c>
      <c r="BX70" s="24">
        <v>150</v>
      </c>
      <c r="BY70" s="24">
        <v>150</v>
      </c>
      <c r="BZ70" s="24">
        <v>150</v>
      </c>
      <c r="CA70" s="24">
        <v>150</v>
      </c>
      <c r="CB70" s="24">
        <v>100</v>
      </c>
      <c r="CC70" s="24">
        <v>100</v>
      </c>
      <c r="CD70" s="24">
        <v>70</v>
      </c>
      <c r="CE70" s="24">
        <v>50</v>
      </c>
      <c r="CF70" s="24"/>
      <c r="CG70" s="24"/>
      <c r="CH70" s="24"/>
      <c r="CI70" s="24"/>
      <c r="CJ70" s="24"/>
      <c r="CK70" s="24"/>
      <c r="CL70" s="24"/>
    </row>
    <row r="71" spans="1:90" ht="18">
      <c r="A71" s="6" t="s">
        <v>99</v>
      </c>
      <c r="B71" s="6" t="s">
        <v>65</v>
      </c>
      <c r="C71" s="6"/>
      <c r="D71" s="6" t="s">
        <v>74</v>
      </c>
      <c r="E71" s="6" t="s">
        <v>69</v>
      </c>
      <c r="F71" s="6"/>
      <c r="G71" s="6" t="s">
        <v>76</v>
      </c>
      <c r="H71" s="6">
        <v>10</v>
      </c>
      <c r="I71" s="33">
        <f t="shared" ref="I71:I72" si="8">+H71*60</f>
        <v>600</v>
      </c>
      <c r="J71" s="6" t="s">
        <v>83</v>
      </c>
      <c r="K71" s="6"/>
      <c r="L71" s="6" t="s">
        <v>87</v>
      </c>
      <c r="M71" s="6" t="s">
        <v>88</v>
      </c>
      <c r="N71" s="6"/>
      <c r="O71" s="6" t="s">
        <v>90</v>
      </c>
      <c r="P71" s="6" t="s">
        <v>92</v>
      </c>
      <c r="Q71" s="6" t="s">
        <v>91</v>
      </c>
      <c r="R71" s="6" t="s">
        <v>94</v>
      </c>
      <c r="S71" s="6" t="s">
        <v>95</v>
      </c>
      <c r="T71" s="3" t="s">
        <v>120</v>
      </c>
      <c r="U71" s="6" t="s">
        <v>96</v>
      </c>
      <c r="V71" s="23">
        <v>46073</v>
      </c>
      <c r="W71" s="23">
        <v>46201</v>
      </c>
      <c r="X71" s="23" t="s">
        <v>396</v>
      </c>
      <c r="Y71" s="100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</row>
    <row r="72" spans="1:90" ht="18">
      <c r="A72" s="6" t="s">
        <v>99</v>
      </c>
      <c r="B72" s="6" t="s">
        <v>65</v>
      </c>
      <c r="C72" s="6"/>
      <c r="D72" s="6" t="s">
        <v>74</v>
      </c>
      <c r="E72" s="6" t="s">
        <v>69</v>
      </c>
      <c r="F72" s="6"/>
      <c r="G72" s="6" t="s">
        <v>76</v>
      </c>
      <c r="H72" s="6">
        <v>35</v>
      </c>
      <c r="I72" s="33">
        <f t="shared" si="8"/>
        <v>2100</v>
      </c>
      <c r="J72" s="6"/>
      <c r="K72" s="6"/>
      <c r="L72" s="6"/>
      <c r="M72" s="6"/>
      <c r="N72" s="6"/>
      <c r="O72" s="6"/>
      <c r="P72" s="6" t="s">
        <v>92</v>
      </c>
      <c r="Q72" s="6" t="s">
        <v>91</v>
      </c>
      <c r="R72" s="6" t="s">
        <v>94</v>
      </c>
      <c r="S72" s="6" t="s">
        <v>95</v>
      </c>
      <c r="T72" s="3" t="s">
        <v>120</v>
      </c>
      <c r="U72" s="6" t="s">
        <v>96</v>
      </c>
      <c r="V72" s="23">
        <v>46073</v>
      </c>
      <c r="W72" s="23">
        <v>46201</v>
      </c>
      <c r="X72" s="23" t="s">
        <v>103</v>
      </c>
      <c r="Y72" s="100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</row>
    <row r="73" spans="1:90" ht="18">
      <c r="A73" s="6" t="s">
        <v>99</v>
      </c>
      <c r="B73" s="7" t="s">
        <v>66</v>
      </c>
      <c r="C73" s="6"/>
      <c r="D73" s="6" t="s">
        <v>403</v>
      </c>
      <c r="E73" s="6" t="s">
        <v>75</v>
      </c>
      <c r="F73" s="6"/>
      <c r="G73" s="6" t="s">
        <v>78</v>
      </c>
      <c r="H73" s="21">
        <v>7</v>
      </c>
      <c r="I73" s="22">
        <v>420</v>
      </c>
      <c r="J73" s="6" t="s">
        <v>82</v>
      </c>
      <c r="K73" s="6"/>
      <c r="L73" s="6" t="s">
        <v>87</v>
      </c>
      <c r="M73" s="6" t="s">
        <v>89</v>
      </c>
      <c r="N73" s="6"/>
      <c r="O73" s="6" t="s">
        <v>90</v>
      </c>
      <c r="P73" s="6" t="s">
        <v>92</v>
      </c>
      <c r="Q73" s="6" t="s">
        <v>91</v>
      </c>
      <c r="R73" s="6" t="s">
        <v>94</v>
      </c>
      <c r="S73" s="6" t="s">
        <v>95</v>
      </c>
      <c r="T73" s="3" t="s">
        <v>120</v>
      </c>
      <c r="U73" s="6" t="s">
        <v>96</v>
      </c>
      <c r="V73" s="23">
        <v>46091</v>
      </c>
      <c r="W73" s="23">
        <v>46219</v>
      </c>
      <c r="X73" s="23" t="s">
        <v>101</v>
      </c>
      <c r="Y73" s="100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>
        <v>20</v>
      </c>
      <c r="BF73" s="24">
        <v>20</v>
      </c>
      <c r="BG73" s="24">
        <v>20</v>
      </c>
      <c r="BH73" s="24">
        <v>40</v>
      </c>
      <c r="BI73" s="24">
        <v>40</v>
      </c>
      <c r="BJ73" s="24">
        <v>40</v>
      </c>
      <c r="BK73" s="24">
        <v>40</v>
      </c>
      <c r="BL73" s="24">
        <v>40</v>
      </c>
      <c r="BM73" s="24">
        <v>40</v>
      </c>
      <c r="BN73" s="24">
        <v>40</v>
      </c>
      <c r="BO73" s="24">
        <v>40</v>
      </c>
      <c r="BP73" s="24">
        <v>40</v>
      </c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</row>
    <row r="74" spans="1:90" ht="18">
      <c r="A74" s="6" t="s">
        <v>99</v>
      </c>
      <c r="B74" s="7" t="s">
        <v>67</v>
      </c>
      <c r="C74" s="6"/>
      <c r="D74" s="6" t="s">
        <v>72</v>
      </c>
      <c r="E74" s="6" t="s">
        <v>73</v>
      </c>
      <c r="F74" s="6"/>
      <c r="G74" s="6" t="s">
        <v>121</v>
      </c>
      <c r="H74" s="21">
        <f>+I74/70</f>
        <v>50</v>
      </c>
      <c r="I74" s="22">
        <v>3500</v>
      </c>
      <c r="J74" s="6" t="s">
        <v>82</v>
      </c>
      <c r="K74" s="6"/>
      <c r="L74" s="6" t="s">
        <v>87</v>
      </c>
      <c r="M74" s="6" t="s">
        <v>89</v>
      </c>
      <c r="N74" s="6"/>
      <c r="O74" s="6" t="s">
        <v>90</v>
      </c>
      <c r="P74" s="6" t="s">
        <v>92</v>
      </c>
      <c r="Q74" s="6" t="s">
        <v>91</v>
      </c>
      <c r="R74" s="6" t="s">
        <v>94</v>
      </c>
      <c r="S74" s="6" t="s">
        <v>95</v>
      </c>
      <c r="T74" s="3" t="s">
        <v>120</v>
      </c>
      <c r="U74" s="6" t="s">
        <v>97</v>
      </c>
      <c r="V74" s="23">
        <v>46096</v>
      </c>
      <c r="W74" s="23">
        <v>46222</v>
      </c>
      <c r="X74" s="23" t="s">
        <v>103</v>
      </c>
      <c r="Y74" s="100">
        <v>5000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>
        <v>60</v>
      </c>
      <c r="BI74" s="24">
        <v>60</v>
      </c>
      <c r="BJ74" s="24">
        <v>60</v>
      </c>
      <c r="BK74" s="24">
        <v>60</v>
      </c>
      <c r="BL74" s="24">
        <v>100</v>
      </c>
      <c r="BM74" s="24">
        <v>120</v>
      </c>
      <c r="BN74" s="24">
        <v>180</v>
      </c>
      <c r="BO74" s="24">
        <v>200</v>
      </c>
      <c r="BP74" s="24">
        <v>200</v>
      </c>
      <c r="BQ74" s="24">
        <v>200</v>
      </c>
      <c r="BR74" s="24">
        <v>200</v>
      </c>
      <c r="BS74" s="24">
        <v>150</v>
      </c>
      <c r="BT74" s="24">
        <v>150</v>
      </c>
      <c r="BU74" s="24">
        <v>150</v>
      </c>
      <c r="BV74" s="24">
        <v>150</v>
      </c>
      <c r="BW74" s="24">
        <v>150</v>
      </c>
      <c r="BX74" s="24">
        <v>150</v>
      </c>
      <c r="BY74" s="24">
        <v>150</v>
      </c>
      <c r="BZ74" s="24">
        <v>150</v>
      </c>
      <c r="CA74" s="24">
        <v>150</v>
      </c>
      <c r="CB74" s="24">
        <v>150</v>
      </c>
      <c r="CC74" s="24">
        <v>150</v>
      </c>
      <c r="CD74" s="24">
        <v>150</v>
      </c>
      <c r="CE74" s="24">
        <v>150</v>
      </c>
      <c r="CF74" s="24">
        <v>150</v>
      </c>
      <c r="CG74" s="24">
        <v>150</v>
      </c>
      <c r="CH74" s="24">
        <v>150</v>
      </c>
      <c r="CI74" s="24">
        <v>50</v>
      </c>
      <c r="CJ74" s="24">
        <v>60</v>
      </c>
      <c r="CK74" s="24">
        <v>50</v>
      </c>
      <c r="CL74" s="24"/>
    </row>
    <row r="75" spans="1:90" ht="18">
      <c r="A75" s="6" t="s">
        <v>99</v>
      </c>
      <c r="B75" s="7" t="s">
        <v>67</v>
      </c>
      <c r="C75" s="6"/>
      <c r="D75" s="6" t="s">
        <v>72</v>
      </c>
      <c r="E75" s="6" t="s">
        <v>73</v>
      </c>
      <c r="F75" s="6"/>
      <c r="G75" s="6" t="s">
        <v>121</v>
      </c>
      <c r="H75" s="21">
        <f t="shared" ref="H75:H76" si="9">+I75/70</f>
        <v>14.285714285714286</v>
      </c>
      <c r="I75" s="22">
        <v>1000</v>
      </c>
      <c r="J75" s="6" t="s">
        <v>82</v>
      </c>
      <c r="K75" s="6"/>
      <c r="L75" s="6" t="s">
        <v>87</v>
      </c>
      <c r="M75" s="6" t="s">
        <v>89</v>
      </c>
      <c r="N75" s="6"/>
      <c r="O75" s="6" t="s">
        <v>90</v>
      </c>
      <c r="P75" s="6" t="s">
        <v>92</v>
      </c>
      <c r="Q75" s="6" t="s">
        <v>91</v>
      </c>
      <c r="R75" s="6" t="s">
        <v>94</v>
      </c>
      <c r="S75" s="6" t="s">
        <v>95</v>
      </c>
      <c r="T75" s="3" t="s">
        <v>120</v>
      </c>
      <c r="U75" s="6" t="s">
        <v>97</v>
      </c>
      <c r="V75" s="23">
        <v>46096</v>
      </c>
      <c r="W75" s="23">
        <v>46222</v>
      </c>
      <c r="X75" s="23" t="s">
        <v>399</v>
      </c>
      <c r="Y75" s="100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102"/>
    </row>
    <row r="76" spans="1:90" ht="18">
      <c r="A76" s="6" t="s">
        <v>99</v>
      </c>
      <c r="B76" s="7" t="s">
        <v>67</v>
      </c>
      <c r="C76" s="6"/>
      <c r="D76" s="6" t="s">
        <v>72</v>
      </c>
      <c r="E76" s="6" t="s">
        <v>73</v>
      </c>
      <c r="F76" s="6"/>
      <c r="G76" s="6" t="s">
        <v>121</v>
      </c>
      <c r="H76" s="21">
        <f t="shared" si="9"/>
        <v>7.1428571428571432</v>
      </c>
      <c r="I76" s="22">
        <v>500</v>
      </c>
      <c r="J76" s="6" t="s">
        <v>82</v>
      </c>
      <c r="K76" s="6"/>
      <c r="L76" s="6" t="s">
        <v>87</v>
      </c>
      <c r="M76" s="6" t="s">
        <v>89</v>
      </c>
      <c r="N76" s="6"/>
      <c r="O76" s="6" t="s">
        <v>90</v>
      </c>
      <c r="P76" s="6" t="s">
        <v>92</v>
      </c>
      <c r="Q76" s="6" t="s">
        <v>91</v>
      </c>
      <c r="R76" s="6" t="s">
        <v>94</v>
      </c>
      <c r="S76" s="6" t="s">
        <v>95</v>
      </c>
      <c r="T76" s="3" t="s">
        <v>120</v>
      </c>
      <c r="U76" s="6" t="s">
        <v>97</v>
      </c>
      <c r="V76" s="23">
        <v>46096</v>
      </c>
      <c r="W76" s="23">
        <v>46222</v>
      </c>
      <c r="X76" s="23" t="s">
        <v>396</v>
      </c>
      <c r="Y76" s="100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102"/>
    </row>
    <row r="77" spans="1:90" ht="18">
      <c r="A77" s="104" t="s">
        <v>362</v>
      </c>
      <c r="B77" s="105"/>
      <c r="C77" s="104"/>
      <c r="D77" s="104"/>
      <c r="E77" s="104"/>
      <c r="F77" s="104"/>
      <c r="G77" s="104"/>
      <c r="H77" s="106">
        <f>SUM(H2:H76)</f>
        <v>528.52857142857147</v>
      </c>
      <c r="I77" s="107">
        <f>SUM(I2:I76)</f>
        <v>33712.5</v>
      </c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8"/>
      <c r="U77" s="104"/>
      <c r="V77" s="109"/>
      <c r="W77" s="109"/>
      <c r="X77" s="109"/>
      <c r="Y77" s="110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102"/>
    </row>
    <row r="78" spans="1:90">
      <c r="A78" s="20" t="s">
        <v>123</v>
      </c>
      <c r="B78" s="20" t="s">
        <v>124</v>
      </c>
      <c r="C78" s="20" t="s">
        <v>125</v>
      </c>
      <c r="D78" s="20" t="s">
        <v>402</v>
      </c>
      <c r="E78" s="20" t="s">
        <v>126</v>
      </c>
      <c r="F78" s="20"/>
      <c r="G78" s="20" t="s">
        <v>76</v>
      </c>
      <c r="H78" s="20" t="s">
        <v>407</v>
      </c>
      <c r="I78" s="20">
        <v>1080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 t="s">
        <v>127</v>
      </c>
      <c r="V78" s="69">
        <v>46084</v>
      </c>
      <c r="W78" s="69">
        <v>46204</v>
      </c>
      <c r="X78" s="20" t="s">
        <v>396</v>
      </c>
      <c r="Y78" s="20">
        <v>3000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30</v>
      </c>
      <c r="AQ78" s="20">
        <v>30</v>
      </c>
      <c r="AR78" s="20">
        <v>40</v>
      </c>
      <c r="AS78" s="20">
        <v>40</v>
      </c>
      <c r="AT78" s="20">
        <v>40</v>
      </c>
      <c r="AU78" s="20">
        <v>40</v>
      </c>
      <c r="AV78" s="20">
        <v>40</v>
      </c>
      <c r="AW78" s="20">
        <v>40</v>
      </c>
      <c r="AX78" s="20">
        <v>60</v>
      </c>
      <c r="AY78" s="20">
        <v>60</v>
      </c>
      <c r="AZ78" s="20">
        <v>100</v>
      </c>
      <c r="BA78" s="20">
        <v>100</v>
      </c>
      <c r="BB78" s="20">
        <v>100</v>
      </c>
      <c r="BC78" s="20">
        <v>100</v>
      </c>
      <c r="BD78" s="20">
        <v>80</v>
      </c>
      <c r="BE78" s="20">
        <v>80</v>
      </c>
      <c r="BF78" s="20">
        <v>80</v>
      </c>
      <c r="BG78" s="20">
        <v>80</v>
      </c>
      <c r="BH78" s="20">
        <v>80</v>
      </c>
      <c r="BI78" s="20">
        <v>60</v>
      </c>
      <c r="BJ78" s="20">
        <v>60</v>
      </c>
      <c r="BK78" s="20">
        <v>60</v>
      </c>
      <c r="BL78" s="20">
        <v>60</v>
      </c>
      <c r="BM78" s="20">
        <v>40</v>
      </c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</row>
    <row r="79" spans="1:90">
      <c r="A79" s="20" t="s">
        <v>123</v>
      </c>
      <c r="B79" s="20" t="s">
        <v>124</v>
      </c>
      <c r="C79" s="20" t="s">
        <v>125</v>
      </c>
      <c r="D79" s="20" t="s">
        <v>402</v>
      </c>
      <c r="E79" s="20" t="s">
        <v>126</v>
      </c>
      <c r="F79" s="20"/>
      <c r="G79" s="20" t="s">
        <v>76</v>
      </c>
      <c r="H79" s="20">
        <v>7</v>
      </c>
      <c r="I79" s="20">
        <v>420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 t="s">
        <v>127</v>
      </c>
      <c r="V79" s="69">
        <v>46084</v>
      </c>
      <c r="W79" s="69">
        <v>46204</v>
      </c>
      <c r="X79" s="20" t="s">
        <v>102</v>
      </c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</row>
    <row r="80" spans="1:90">
      <c r="A80" s="20" t="s">
        <v>123</v>
      </c>
      <c r="B80" s="20" t="s">
        <v>128</v>
      </c>
      <c r="C80" s="20" t="s">
        <v>129</v>
      </c>
      <c r="D80" s="20" t="s">
        <v>402</v>
      </c>
      <c r="E80" s="20" t="s">
        <v>130</v>
      </c>
      <c r="F80" s="20"/>
      <c r="G80" s="20" t="s">
        <v>76</v>
      </c>
      <c r="H80" s="20">
        <v>2.5</v>
      </c>
      <c r="I80" s="20">
        <v>150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 t="s">
        <v>131</v>
      </c>
      <c r="V80" s="69">
        <v>46096</v>
      </c>
      <c r="W80" s="69">
        <v>46216</v>
      </c>
      <c r="X80" s="20" t="s">
        <v>103</v>
      </c>
      <c r="Y80" s="20">
        <v>1000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>
        <v>15</v>
      </c>
      <c r="BC80" s="20">
        <v>15</v>
      </c>
      <c r="BD80" s="20">
        <v>20</v>
      </c>
      <c r="BE80" s="20">
        <v>20</v>
      </c>
      <c r="BF80" s="20">
        <v>20</v>
      </c>
      <c r="BG80" s="20"/>
      <c r="BH80" s="20">
        <v>20</v>
      </c>
      <c r="BI80" s="20">
        <v>20</v>
      </c>
      <c r="BJ80" s="20">
        <v>20</v>
      </c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</row>
    <row r="81" spans="1:90">
      <c r="A81" s="20" t="s">
        <v>123</v>
      </c>
      <c r="B81" s="20" t="s">
        <v>132</v>
      </c>
      <c r="C81" s="20" t="s">
        <v>129</v>
      </c>
      <c r="D81" s="20" t="s">
        <v>402</v>
      </c>
      <c r="E81" s="20" t="s">
        <v>130</v>
      </c>
      <c r="F81" s="20"/>
      <c r="G81" s="20" t="s">
        <v>76</v>
      </c>
      <c r="H81" s="20">
        <v>6</v>
      </c>
      <c r="I81" s="20">
        <v>360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 t="s">
        <v>131</v>
      </c>
      <c r="V81" s="69">
        <v>46086</v>
      </c>
      <c r="W81" s="69">
        <v>46206</v>
      </c>
      <c r="X81" s="20" t="s">
        <v>102</v>
      </c>
      <c r="Y81" s="20">
        <v>1500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>
        <v>20</v>
      </c>
      <c r="AS81" s="20">
        <v>20</v>
      </c>
      <c r="AT81" s="20">
        <v>20</v>
      </c>
      <c r="AU81" s="20">
        <v>20</v>
      </c>
      <c r="AV81" s="20">
        <v>20</v>
      </c>
      <c r="AW81" s="20"/>
      <c r="AX81" s="20">
        <v>20</v>
      </c>
      <c r="AY81" s="20">
        <v>40</v>
      </c>
      <c r="AZ81" s="20">
        <v>40</v>
      </c>
      <c r="BA81" s="20">
        <v>40</v>
      </c>
      <c r="BB81" s="20">
        <v>20</v>
      </c>
      <c r="BC81" s="20">
        <v>20</v>
      </c>
      <c r="BD81" s="20">
        <v>20</v>
      </c>
      <c r="BE81" s="20">
        <v>20</v>
      </c>
      <c r="BF81" s="20">
        <v>20</v>
      </c>
      <c r="BG81" s="20">
        <v>20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</row>
    <row r="82" spans="1:90">
      <c r="A82" s="20" t="s">
        <v>123</v>
      </c>
      <c r="B82" s="20" t="s">
        <v>133</v>
      </c>
      <c r="C82" s="20" t="s">
        <v>134</v>
      </c>
      <c r="D82" s="20" t="s">
        <v>402</v>
      </c>
      <c r="E82" s="20" t="s">
        <v>135</v>
      </c>
      <c r="F82" s="20"/>
      <c r="G82" s="20" t="s">
        <v>76</v>
      </c>
      <c r="H82" s="20">
        <v>7</v>
      </c>
      <c r="I82" s="20">
        <v>420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 t="s">
        <v>131</v>
      </c>
      <c r="V82" s="69">
        <v>46075</v>
      </c>
      <c r="W82" s="69">
        <v>46195</v>
      </c>
      <c r="X82" s="20" t="s">
        <v>103</v>
      </c>
      <c r="Y82" s="101">
        <v>8000</v>
      </c>
      <c r="Z82" s="20"/>
      <c r="AA82" s="20"/>
      <c r="AB82" s="20"/>
      <c r="AC82" s="20"/>
      <c r="AD82" s="20"/>
      <c r="AE82" s="20"/>
      <c r="AF82" s="20"/>
      <c r="AG82" s="20">
        <v>20</v>
      </c>
      <c r="AH82" s="20">
        <v>20</v>
      </c>
      <c r="AI82" s="20">
        <v>30</v>
      </c>
      <c r="AJ82" s="20">
        <v>30</v>
      </c>
      <c r="AK82" s="20">
        <v>30</v>
      </c>
      <c r="AL82" s="20">
        <v>40</v>
      </c>
      <c r="AM82" s="20">
        <v>40</v>
      </c>
      <c r="AN82" s="20">
        <v>40</v>
      </c>
      <c r="AO82" s="20">
        <v>40</v>
      </c>
      <c r="AP82" s="20">
        <v>20</v>
      </c>
      <c r="AQ82" s="20">
        <v>20</v>
      </c>
      <c r="AR82" s="20">
        <v>20</v>
      </c>
      <c r="AS82" s="20">
        <v>30</v>
      </c>
      <c r="AT82" s="20">
        <v>20</v>
      </c>
      <c r="AU82" s="20">
        <v>20</v>
      </c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</row>
    <row r="83" spans="1:90">
      <c r="A83" s="20" t="s">
        <v>123</v>
      </c>
      <c r="B83" s="20" t="s">
        <v>136</v>
      </c>
      <c r="C83" s="20" t="s">
        <v>137</v>
      </c>
      <c r="D83" s="20" t="s">
        <v>402</v>
      </c>
      <c r="E83" s="20" t="s">
        <v>138</v>
      </c>
      <c r="F83" s="20"/>
      <c r="G83" s="20" t="s">
        <v>76</v>
      </c>
      <c r="H83" s="20">
        <v>1.5</v>
      </c>
      <c r="I83" s="20">
        <v>90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 t="s">
        <v>131</v>
      </c>
      <c r="V83" s="69">
        <v>46086</v>
      </c>
      <c r="W83" s="69">
        <v>46206</v>
      </c>
      <c r="X83" s="20" t="s">
        <v>101</v>
      </c>
      <c r="Y83" s="20">
        <v>1000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>
        <v>10</v>
      </c>
      <c r="AS83" s="20">
        <v>10</v>
      </c>
      <c r="AT83" s="20">
        <v>10</v>
      </c>
      <c r="AU83" s="20">
        <v>15</v>
      </c>
      <c r="AV83" s="20">
        <v>15</v>
      </c>
      <c r="AW83" s="20">
        <v>10</v>
      </c>
      <c r="AX83" s="20">
        <v>10</v>
      </c>
      <c r="AY83" s="20">
        <v>10</v>
      </c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</row>
    <row r="84" spans="1:90">
      <c r="A84" s="20" t="s">
        <v>123</v>
      </c>
      <c r="B84" s="20" t="s">
        <v>139</v>
      </c>
      <c r="C84" s="20" t="s">
        <v>140</v>
      </c>
      <c r="D84" s="20" t="s">
        <v>402</v>
      </c>
      <c r="E84" s="20" t="s">
        <v>130</v>
      </c>
      <c r="F84" s="20"/>
      <c r="G84" s="20" t="s">
        <v>76</v>
      </c>
      <c r="H84" s="20">
        <v>2</v>
      </c>
      <c r="I84" s="20">
        <v>120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 t="s">
        <v>131</v>
      </c>
      <c r="V84" s="69">
        <v>46091</v>
      </c>
      <c r="W84" s="69">
        <v>46211</v>
      </c>
      <c r="X84" s="20" t="s">
        <v>102</v>
      </c>
      <c r="Y84" s="20">
        <v>1000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>
        <v>15</v>
      </c>
      <c r="AX84" s="20">
        <v>20</v>
      </c>
      <c r="AY84" s="20">
        <v>20</v>
      </c>
      <c r="AZ84" s="20">
        <v>20</v>
      </c>
      <c r="BA84" s="20">
        <v>15</v>
      </c>
      <c r="BB84" s="20">
        <v>15</v>
      </c>
      <c r="BC84" s="20">
        <v>15</v>
      </c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</row>
    <row r="85" spans="1:90">
      <c r="A85" s="20" t="s">
        <v>123</v>
      </c>
      <c r="B85" s="20" t="s">
        <v>141</v>
      </c>
      <c r="C85" s="20" t="s">
        <v>142</v>
      </c>
      <c r="D85" s="20" t="s">
        <v>402</v>
      </c>
      <c r="E85" s="20" t="s">
        <v>143</v>
      </c>
      <c r="F85" s="20"/>
      <c r="G85" s="20" t="s">
        <v>76</v>
      </c>
      <c r="H85" s="20">
        <v>4</v>
      </c>
      <c r="I85" s="20">
        <v>240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 t="s">
        <v>131</v>
      </c>
      <c r="V85" s="69">
        <v>46078</v>
      </c>
      <c r="W85" s="69">
        <v>46198</v>
      </c>
      <c r="X85" s="20" t="s">
        <v>102</v>
      </c>
      <c r="Y85" s="20">
        <v>1000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>
        <v>15</v>
      </c>
      <c r="AK85" s="20">
        <v>15</v>
      </c>
      <c r="AL85" s="20">
        <v>20</v>
      </c>
      <c r="AM85" s="20">
        <v>20</v>
      </c>
      <c r="AN85" s="20">
        <v>20</v>
      </c>
      <c r="AO85" s="20">
        <v>20</v>
      </c>
      <c r="AP85" s="20">
        <v>30</v>
      </c>
      <c r="AQ85" s="20">
        <v>30</v>
      </c>
      <c r="AR85" s="20">
        <v>20</v>
      </c>
      <c r="AS85" s="20">
        <v>20</v>
      </c>
      <c r="AT85" s="20">
        <v>15</v>
      </c>
      <c r="AU85" s="20">
        <v>15</v>
      </c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</row>
    <row r="86" spans="1:90">
      <c r="A86" s="20" t="s">
        <v>123</v>
      </c>
      <c r="B86" s="20" t="s">
        <v>144</v>
      </c>
      <c r="C86" s="20" t="s">
        <v>145</v>
      </c>
      <c r="D86" s="20" t="s">
        <v>402</v>
      </c>
      <c r="E86" s="20" t="s">
        <v>146</v>
      </c>
      <c r="F86" s="20"/>
      <c r="G86" s="20" t="s">
        <v>76</v>
      </c>
      <c r="H86" s="20">
        <v>2</v>
      </c>
      <c r="I86" s="20">
        <v>120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 t="s">
        <v>131</v>
      </c>
      <c r="V86" s="69">
        <v>46122</v>
      </c>
      <c r="W86" s="69">
        <v>46232</v>
      </c>
      <c r="X86" s="20" t="s">
        <v>101</v>
      </c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>
        <v>15</v>
      </c>
      <c r="BR86" s="20">
        <v>15</v>
      </c>
      <c r="BS86" s="20">
        <v>15</v>
      </c>
      <c r="BT86" s="20">
        <v>20</v>
      </c>
      <c r="BU86" s="20">
        <v>20</v>
      </c>
      <c r="BV86" s="20">
        <v>20</v>
      </c>
      <c r="BW86" s="20">
        <v>15</v>
      </c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</row>
    <row r="87" spans="1:90">
      <c r="A87" s="20" t="s">
        <v>123</v>
      </c>
      <c r="B87" s="20" t="s">
        <v>147</v>
      </c>
      <c r="C87" s="20" t="s">
        <v>148</v>
      </c>
      <c r="D87" s="20" t="s">
        <v>402</v>
      </c>
      <c r="E87" s="20" t="s">
        <v>143</v>
      </c>
      <c r="F87" s="20"/>
      <c r="G87" s="20" t="s">
        <v>76</v>
      </c>
      <c r="H87" s="20">
        <v>1.5</v>
      </c>
      <c r="I87" s="20">
        <v>90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 t="s">
        <v>131</v>
      </c>
      <c r="V87" s="69">
        <v>46080</v>
      </c>
      <c r="W87" s="69">
        <v>46200</v>
      </c>
      <c r="X87" s="20" t="s">
        <v>103</v>
      </c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>
        <v>15</v>
      </c>
      <c r="AM87" s="20">
        <v>15</v>
      </c>
      <c r="AN87" s="20">
        <v>15</v>
      </c>
      <c r="AO87" s="20">
        <v>15</v>
      </c>
      <c r="AP87" s="20">
        <v>15</v>
      </c>
      <c r="AQ87" s="20">
        <v>15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</row>
    <row r="88" spans="1:90">
      <c r="A88" s="20" t="s">
        <v>123</v>
      </c>
      <c r="B88" s="20" t="s">
        <v>149</v>
      </c>
      <c r="C88" s="20" t="s">
        <v>150</v>
      </c>
      <c r="D88" s="20" t="s">
        <v>402</v>
      </c>
      <c r="E88" s="20" t="s">
        <v>151</v>
      </c>
      <c r="F88" s="20"/>
      <c r="G88" s="20" t="s">
        <v>76</v>
      </c>
      <c r="H88" s="20">
        <v>6</v>
      </c>
      <c r="I88" s="20">
        <v>360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 t="s">
        <v>127</v>
      </c>
      <c r="V88" s="69">
        <v>46096</v>
      </c>
      <c r="W88" s="69">
        <v>46216</v>
      </c>
      <c r="X88" s="20" t="s">
        <v>102</v>
      </c>
      <c r="Y88" s="20">
        <v>2000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>
        <v>20</v>
      </c>
      <c r="BC88" s="20">
        <v>20</v>
      </c>
      <c r="BD88" s="20">
        <v>20</v>
      </c>
      <c r="BE88" s="20">
        <v>20</v>
      </c>
      <c r="BF88" s="20">
        <v>20</v>
      </c>
      <c r="BG88" s="20"/>
      <c r="BH88" s="20">
        <v>20</v>
      </c>
      <c r="BI88" s="20">
        <v>30</v>
      </c>
      <c r="BJ88" s="20">
        <v>30</v>
      </c>
      <c r="BK88" s="20">
        <v>30</v>
      </c>
      <c r="BL88" s="20">
        <v>20</v>
      </c>
      <c r="BM88" s="20">
        <v>20</v>
      </c>
      <c r="BN88" s="20">
        <v>20</v>
      </c>
      <c r="BO88" s="20">
        <v>15</v>
      </c>
      <c r="BP88" s="20">
        <v>15</v>
      </c>
      <c r="BQ88" s="20">
        <v>20</v>
      </c>
      <c r="BR88" s="20">
        <v>20</v>
      </c>
      <c r="BS88" s="20">
        <v>20</v>
      </c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</row>
    <row r="89" spans="1:90">
      <c r="A89" s="20" t="s">
        <v>123</v>
      </c>
      <c r="B89" s="20" t="s">
        <v>152</v>
      </c>
      <c r="C89" s="20" t="s">
        <v>153</v>
      </c>
      <c r="D89" s="20" t="s">
        <v>402</v>
      </c>
      <c r="E89" s="20" t="s">
        <v>135</v>
      </c>
      <c r="F89" s="20"/>
      <c r="G89" s="20" t="s">
        <v>76</v>
      </c>
      <c r="H89" s="20">
        <v>2.5</v>
      </c>
      <c r="I89" s="20">
        <v>150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 t="s">
        <v>131</v>
      </c>
      <c r="V89" s="69">
        <v>46086</v>
      </c>
      <c r="W89" s="69">
        <v>46206</v>
      </c>
      <c r="X89" s="20" t="s">
        <v>102</v>
      </c>
      <c r="Y89" s="20">
        <v>1000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>
        <v>15</v>
      </c>
      <c r="AS89" s="20">
        <v>15</v>
      </c>
      <c r="AT89" s="20">
        <v>15</v>
      </c>
      <c r="AU89" s="20">
        <v>20</v>
      </c>
      <c r="AV89" s="20">
        <v>20</v>
      </c>
      <c r="AW89" s="20">
        <v>30</v>
      </c>
      <c r="AX89" s="20">
        <v>20</v>
      </c>
      <c r="AY89" s="20">
        <v>15</v>
      </c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</row>
    <row r="90" spans="1:90">
      <c r="A90" s="20" t="s">
        <v>123</v>
      </c>
      <c r="B90" s="20" t="s">
        <v>154</v>
      </c>
      <c r="C90" s="20" t="s">
        <v>155</v>
      </c>
      <c r="D90" s="20" t="s">
        <v>402</v>
      </c>
      <c r="E90" s="20" t="s">
        <v>156</v>
      </c>
      <c r="F90" s="20"/>
      <c r="G90" s="20" t="s">
        <v>76</v>
      </c>
      <c r="H90" s="20">
        <v>1.5</v>
      </c>
      <c r="I90" s="20">
        <v>90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 t="s">
        <v>131</v>
      </c>
      <c r="V90" s="69">
        <v>46122</v>
      </c>
      <c r="W90" s="69">
        <v>46232</v>
      </c>
      <c r="X90" s="20" t="s">
        <v>102</v>
      </c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>
        <v>15</v>
      </c>
      <c r="BR90" s="20">
        <v>15</v>
      </c>
      <c r="BS90" s="20">
        <v>15</v>
      </c>
      <c r="BT90" s="20">
        <v>15</v>
      </c>
      <c r="BU90" s="20">
        <v>15</v>
      </c>
      <c r="BV90" s="20">
        <v>15</v>
      </c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</row>
    <row r="91" spans="1:90">
      <c r="A91" s="20" t="s">
        <v>123</v>
      </c>
      <c r="B91" s="20" t="s">
        <v>157</v>
      </c>
      <c r="C91" s="20" t="s">
        <v>158</v>
      </c>
      <c r="D91" s="20" t="s">
        <v>402</v>
      </c>
      <c r="E91" s="20" t="s">
        <v>159</v>
      </c>
      <c r="F91" s="20"/>
      <c r="G91" s="20" t="s">
        <v>76</v>
      </c>
      <c r="H91" s="20">
        <v>5</v>
      </c>
      <c r="I91" s="20">
        <v>300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 t="s">
        <v>131</v>
      </c>
      <c r="V91" s="69" t="s">
        <v>160</v>
      </c>
      <c r="W91" s="69">
        <v>46221</v>
      </c>
      <c r="X91" s="20" t="s">
        <v>102</v>
      </c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>
        <v>20</v>
      </c>
      <c r="BH91" s="20">
        <v>20</v>
      </c>
      <c r="BI91" s="20">
        <v>20</v>
      </c>
      <c r="BJ91" s="20">
        <v>30</v>
      </c>
      <c r="BK91" s="20">
        <v>30</v>
      </c>
      <c r="BL91" s="20">
        <v>30</v>
      </c>
      <c r="BM91" s="20">
        <v>20</v>
      </c>
      <c r="BN91" s="20">
        <v>20</v>
      </c>
      <c r="BO91" s="20">
        <v>20</v>
      </c>
      <c r="BP91" s="20">
        <v>20</v>
      </c>
      <c r="BQ91" s="20">
        <v>20</v>
      </c>
      <c r="BR91" s="20">
        <v>15</v>
      </c>
      <c r="BS91" s="20">
        <v>15</v>
      </c>
      <c r="BT91" s="20">
        <v>20</v>
      </c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</row>
    <row r="92" spans="1:90">
      <c r="A92" s="20" t="s">
        <v>123</v>
      </c>
      <c r="B92" s="20" t="s">
        <v>161</v>
      </c>
      <c r="C92" s="20" t="s">
        <v>162</v>
      </c>
      <c r="D92" s="20" t="s">
        <v>402</v>
      </c>
      <c r="E92" s="20" t="s">
        <v>156</v>
      </c>
      <c r="F92" s="20"/>
      <c r="G92" s="20" t="s">
        <v>76</v>
      </c>
      <c r="H92" s="20">
        <v>5</v>
      </c>
      <c r="I92" s="20">
        <v>300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 t="s">
        <v>127</v>
      </c>
      <c r="V92" s="69">
        <v>46078</v>
      </c>
      <c r="W92" s="69">
        <v>46198</v>
      </c>
      <c r="X92" s="20" t="s">
        <v>103</v>
      </c>
      <c r="Y92" s="20">
        <v>1500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v>15</v>
      </c>
      <c r="AK92" s="20">
        <v>15</v>
      </c>
      <c r="AL92" s="20">
        <v>15</v>
      </c>
      <c r="AM92" s="20">
        <v>15</v>
      </c>
      <c r="AN92" s="20">
        <v>20</v>
      </c>
      <c r="AO92" s="20">
        <v>20</v>
      </c>
      <c r="AP92" s="20">
        <v>20</v>
      </c>
      <c r="AQ92" s="20">
        <v>20</v>
      </c>
      <c r="AR92" s="20">
        <v>20</v>
      </c>
      <c r="AS92" s="20">
        <v>20</v>
      </c>
      <c r="AT92" s="20">
        <v>20</v>
      </c>
      <c r="AU92" s="20">
        <v>20</v>
      </c>
      <c r="AV92" s="20">
        <v>20</v>
      </c>
      <c r="AW92" s="20">
        <v>20</v>
      </c>
      <c r="AX92" s="20">
        <v>20</v>
      </c>
      <c r="AY92" s="20">
        <v>20</v>
      </c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</row>
    <row r="93" spans="1:90">
      <c r="A93" s="20" t="s">
        <v>123</v>
      </c>
      <c r="B93" s="20" t="s">
        <v>163</v>
      </c>
      <c r="C93" s="20" t="s">
        <v>164</v>
      </c>
      <c r="D93" s="20" t="s">
        <v>402</v>
      </c>
      <c r="E93" s="20" t="s">
        <v>165</v>
      </c>
      <c r="F93" s="20"/>
      <c r="G93" s="20" t="s">
        <v>76</v>
      </c>
      <c r="H93" s="20">
        <v>2.5</v>
      </c>
      <c r="I93" s="20">
        <v>150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 t="s">
        <v>131</v>
      </c>
      <c r="V93" s="69">
        <v>46082</v>
      </c>
      <c r="W93" s="69">
        <v>46202</v>
      </c>
      <c r="X93" s="20" t="s">
        <v>102</v>
      </c>
      <c r="Y93" s="20">
        <v>1000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>
        <v>18</v>
      </c>
      <c r="AO93" s="20">
        <v>18</v>
      </c>
      <c r="AP93" s="20">
        <v>18</v>
      </c>
      <c r="AQ93" s="20">
        <v>20</v>
      </c>
      <c r="AR93" s="20">
        <v>20</v>
      </c>
      <c r="AS93" s="20">
        <v>20</v>
      </c>
      <c r="AT93" s="20">
        <v>18</v>
      </c>
      <c r="AU93" s="20">
        <v>18</v>
      </c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</row>
    <row r="94" spans="1:90">
      <c r="A94" s="20" t="s">
        <v>123</v>
      </c>
      <c r="B94" s="20" t="s">
        <v>166</v>
      </c>
      <c r="C94" s="20" t="s">
        <v>167</v>
      </c>
      <c r="D94" s="20" t="s">
        <v>402</v>
      </c>
      <c r="E94" s="20" t="s">
        <v>130</v>
      </c>
      <c r="F94" s="20"/>
      <c r="G94" s="20" t="s">
        <v>76</v>
      </c>
      <c r="H94" s="20">
        <v>2.5</v>
      </c>
      <c r="I94" s="20">
        <v>150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 t="s">
        <v>131</v>
      </c>
      <c r="V94" s="69">
        <v>46106</v>
      </c>
      <c r="W94" s="69">
        <v>46226</v>
      </c>
      <c r="X94" s="20" t="s">
        <v>101</v>
      </c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>
        <v>18</v>
      </c>
      <c r="BM94" s="20">
        <v>18</v>
      </c>
      <c r="BN94" s="20">
        <v>18</v>
      </c>
      <c r="BO94" s="20">
        <v>20</v>
      </c>
      <c r="BP94" s="20">
        <v>20</v>
      </c>
      <c r="BQ94" s="20">
        <v>20</v>
      </c>
      <c r="BR94" s="20">
        <v>18</v>
      </c>
      <c r="BS94" s="20">
        <v>18</v>
      </c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</row>
    <row r="95" spans="1:90">
      <c r="A95" s="20" t="s">
        <v>123</v>
      </c>
      <c r="B95" s="20" t="s">
        <v>168</v>
      </c>
      <c r="C95" s="20" t="s">
        <v>169</v>
      </c>
      <c r="D95" s="20" t="s">
        <v>402</v>
      </c>
      <c r="E95" s="20" t="s">
        <v>135</v>
      </c>
      <c r="F95" s="20"/>
      <c r="G95" s="20" t="s">
        <v>76</v>
      </c>
      <c r="H95" s="20">
        <v>4.5</v>
      </c>
      <c r="I95" s="20">
        <v>270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 t="s">
        <v>131</v>
      </c>
      <c r="V95" s="69">
        <v>46091</v>
      </c>
      <c r="W95" s="69">
        <v>46211</v>
      </c>
      <c r="X95" s="20" t="s">
        <v>102</v>
      </c>
      <c r="Y95" s="20">
        <v>1000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>
        <v>20</v>
      </c>
      <c r="AX95" s="20">
        <v>20</v>
      </c>
      <c r="AY95" s="20">
        <v>20</v>
      </c>
      <c r="AZ95" s="20">
        <v>30</v>
      </c>
      <c r="BA95" s="20">
        <v>30</v>
      </c>
      <c r="BB95" s="20">
        <v>30</v>
      </c>
      <c r="BC95" s="20">
        <v>20</v>
      </c>
      <c r="BD95" s="20">
        <v>20</v>
      </c>
      <c r="BE95" s="20">
        <v>20</v>
      </c>
      <c r="BF95" s="20">
        <v>20</v>
      </c>
      <c r="BG95" s="20">
        <v>20</v>
      </c>
      <c r="BH95" s="20">
        <v>20</v>
      </c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</row>
    <row r="96" spans="1:90">
      <c r="A96" s="20" t="s">
        <v>123</v>
      </c>
      <c r="B96" s="20" t="s">
        <v>170</v>
      </c>
      <c r="C96" s="20" t="s">
        <v>171</v>
      </c>
      <c r="D96" s="20" t="s">
        <v>402</v>
      </c>
      <c r="E96" s="20" t="s">
        <v>130</v>
      </c>
      <c r="F96" s="20"/>
      <c r="G96" s="20" t="s">
        <v>76</v>
      </c>
      <c r="H96" s="20">
        <v>1.5</v>
      </c>
      <c r="I96" s="20">
        <v>90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 t="s">
        <v>131</v>
      </c>
      <c r="V96" s="69">
        <v>46113</v>
      </c>
      <c r="W96" s="69">
        <v>46233</v>
      </c>
      <c r="X96" s="20" t="s">
        <v>101</v>
      </c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>
        <v>15</v>
      </c>
      <c r="BS96" s="20">
        <v>15</v>
      </c>
      <c r="BT96" s="20">
        <v>15</v>
      </c>
      <c r="BU96" s="20">
        <v>15</v>
      </c>
      <c r="BV96" s="20">
        <v>15</v>
      </c>
      <c r="BW96" s="20">
        <v>15</v>
      </c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</row>
    <row r="97" spans="1:90">
      <c r="A97" s="20" t="s">
        <v>123</v>
      </c>
      <c r="B97" s="20" t="s">
        <v>172</v>
      </c>
      <c r="C97" s="20" t="s">
        <v>173</v>
      </c>
      <c r="D97" s="20" t="s">
        <v>402</v>
      </c>
      <c r="E97" s="20" t="s">
        <v>165</v>
      </c>
      <c r="F97" s="20"/>
      <c r="G97" s="20" t="s">
        <v>76</v>
      </c>
      <c r="H97" s="20">
        <v>1</v>
      </c>
      <c r="I97" s="20">
        <v>60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 t="s">
        <v>131</v>
      </c>
      <c r="V97" s="69">
        <v>46127</v>
      </c>
      <c r="W97" s="69">
        <v>46237</v>
      </c>
      <c r="X97" s="20" t="s">
        <v>101</v>
      </c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>
        <v>10</v>
      </c>
      <c r="BW97" s="20">
        <v>10</v>
      </c>
      <c r="BX97" s="20">
        <v>15</v>
      </c>
      <c r="BY97" s="20">
        <v>15</v>
      </c>
      <c r="BZ97" s="20">
        <v>10</v>
      </c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</row>
    <row r="98" spans="1:90">
      <c r="A98" s="20" t="s">
        <v>123</v>
      </c>
      <c r="B98" s="20" t="s">
        <v>174</v>
      </c>
      <c r="C98" s="20" t="s">
        <v>175</v>
      </c>
      <c r="D98" s="20" t="s">
        <v>402</v>
      </c>
      <c r="E98" s="20" t="s">
        <v>130</v>
      </c>
      <c r="F98" s="20"/>
      <c r="G98" s="20" t="s">
        <v>76</v>
      </c>
      <c r="H98" s="20">
        <v>2</v>
      </c>
      <c r="I98" s="20">
        <v>120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 t="s">
        <v>131</v>
      </c>
      <c r="V98" s="69">
        <v>46101</v>
      </c>
      <c r="W98" s="69">
        <v>46221</v>
      </c>
      <c r="X98" s="20" t="s">
        <v>101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>
        <v>15</v>
      </c>
      <c r="BH98" s="20">
        <v>15</v>
      </c>
      <c r="BI98" s="20">
        <v>15</v>
      </c>
      <c r="BJ98" s="20">
        <v>15</v>
      </c>
      <c r="BK98" s="20">
        <v>15</v>
      </c>
      <c r="BL98" s="20">
        <v>20</v>
      </c>
      <c r="BM98" s="20">
        <v>15</v>
      </c>
      <c r="BN98" s="20">
        <v>10</v>
      </c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</row>
    <row r="99" spans="1:90">
      <c r="A99" s="20" t="s">
        <v>123</v>
      </c>
      <c r="B99" s="20" t="s">
        <v>176</v>
      </c>
      <c r="C99" s="20" t="s">
        <v>177</v>
      </c>
      <c r="D99" s="20" t="s">
        <v>402</v>
      </c>
      <c r="E99" s="20" t="s">
        <v>178</v>
      </c>
      <c r="F99" s="20"/>
      <c r="G99" s="20" t="s">
        <v>76</v>
      </c>
      <c r="H99" s="20">
        <v>1</v>
      </c>
      <c r="I99" s="20">
        <v>60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 t="s">
        <v>131</v>
      </c>
      <c r="V99" s="69">
        <v>46106</v>
      </c>
      <c r="W99" s="69">
        <v>46226</v>
      </c>
      <c r="X99" s="20" t="s">
        <v>102</v>
      </c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>
        <v>10</v>
      </c>
      <c r="BM99" s="20">
        <v>10</v>
      </c>
      <c r="BN99" s="20">
        <v>10</v>
      </c>
      <c r="BO99" s="20">
        <v>10</v>
      </c>
      <c r="BP99" s="20">
        <v>10</v>
      </c>
      <c r="BQ99" s="20">
        <v>10</v>
      </c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</row>
    <row r="100" spans="1:90">
      <c r="A100" s="20" t="s">
        <v>123</v>
      </c>
      <c r="B100" s="20" t="s">
        <v>179</v>
      </c>
      <c r="C100" s="20" t="s">
        <v>180</v>
      </c>
      <c r="D100" s="20" t="s">
        <v>402</v>
      </c>
      <c r="E100" s="20" t="s">
        <v>181</v>
      </c>
      <c r="F100" s="20"/>
      <c r="G100" s="20" t="s">
        <v>76</v>
      </c>
      <c r="H100" s="20">
        <v>3.5</v>
      </c>
      <c r="I100" s="20">
        <v>210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131</v>
      </c>
      <c r="V100" s="69">
        <v>46093</v>
      </c>
      <c r="W100" s="69">
        <v>46213</v>
      </c>
      <c r="X100" s="20" t="s">
        <v>101</v>
      </c>
      <c r="Y100" s="20">
        <v>1000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>
        <v>10</v>
      </c>
      <c r="AZ100" s="20">
        <v>10</v>
      </c>
      <c r="BA100" s="20">
        <v>15</v>
      </c>
      <c r="BB100" s="20">
        <v>15</v>
      </c>
      <c r="BC100" s="20">
        <v>15</v>
      </c>
      <c r="BD100" s="20">
        <v>20</v>
      </c>
      <c r="BE100" s="20">
        <v>20</v>
      </c>
      <c r="BF100" s="20">
        <v>20</v>
      </c>
      <c r="BG100" s="20">
        <v>10</v>
      </c>
      <c r="BH100" s="20">
        <v>10</v>
      </c>
      <c r="BI100" s="20">
        <v>10</v>
      </c>
      <c r="BJ100" s="20">
        <v>10</v>
      </c>
      <c r="BK100" s="20">
        <v>10</v>
      </c>
      <c r="BL100" s="20">
        <v>10</v>
      </c>
      <c r="BM100" s="20">
        <v>10</v>
      </c>
      <c r="BN100" s="20">
        <v>15</v>
      </c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</row>
    <row r="101" spans="1:90">
      <c r="A101" s="20" t="s">
        <v>123</v>
      </c>
      <c r="B101" s="20" t="s">
        <v>182</v>
      </c>
      <c r="C101" s="20" t="s">
        <v>183</v>
      </c>
      <c r="D101" s="20" t="s">
        <v>402</v>
      </c>
      <c r="E101" s="20" t="s">
        <v>130</v>
      </c>
      <c r="F101" s="20"/>
      <c r="G101" s="20" t="s">
        <v>76</v>
      </c>
      <c r="H101" s="20">
        <v>3</v>
      </c>
      <c r="I101" s="20">
        <v>180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 t="s">
        <v>131</v>
      </c>
      <c r="V101" s="69">
        <v>46091</v>
      </c>
      <c r="W101" s="69">
        <v>46211</v>
      </c>
      <c r="X101" s="20" t="s">
        <v>102</v>
      </c>
      <c r="Y101" s="20">
        <v>1000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>
        <v>15</v>
      </c>
      <c r="AX101" s="20">
        <v>15</v>
      </c>
      <c r="AY101" s="20">
        <v>15</v>
      </c>
      <c r="AZ101" s="20">
        <v>20</v>
      </c>
      <c r="BA101" s="20">
        <v>20</v>
      </c>
      <c r="BB101" s="20">
        <v>20</v>
      </c>
      <c r="BC101" s="20">
        <v>20</v>
      </c>
      <c r="BD101" s="20">
        <v>20</v>
      </c>
      <c r="BE101" s="20">
        <v>20</v>
      </c>
      <c r="BF101" s="20">
        <v>15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</row>
    <row r="102" spans="1:90">
      <c r="A102" s="20" t="s">
        <v>123</v>
      </c>
      <c r="B102" s="20" t="s">
        <v>184</v>
      </c>
      <c r="C102" s="20" t="s">
        <v>185</v>
      </c>
      <c r="D102" s="20" t="s">
        <v>402</v>
      </c>
      <c r="E102" s="20" t="s">
        <v>143</v>
      </c>
      <c r="F102" s="20"/>
      <c r="G102" s="20" t="s">
        <v>76</v>
      </c>
      <c r="H102" s="20">
        <v>2</v>
      </c>
      <c r="I102" s="20">
        <v>120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 t="s">
        <v>186</v>
      </c>
      <c r="V102" s="69">
        <v>46098</v>
      </c>
      <c r="W102" s="69">
        <v>46218</v>
      </c>
      <c r="X102" s="20" t="s">
        <v>102</v>
      </c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>
        <v>10</v>
      </c>
      <c r="BE102" s="20">
        <v>10</v>
      </c>
      <c r="BF102" s="20">
        <v>15</v>
      </c>
      <c r="BG102" s="20">
        <v>20</v>
      </c>
      <c r="BH102" s="20">
        <v>20</v>
      </c>
      <c r="BI102" s="20">
        <v>20</v>
      </c>
      <c r="BJ102" s="20">
        <v>15</v>
      </c>
      <c r="BK102" s="20">
        <v>10</v>
      </c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</row>
    <row r="103" spans="1:90">
      <c r="A103" s="20" t="s">
        <v>123</v>
      </c>
      <c r="B103" s="20" t="s">
        <v>187</v>
      </c>
      <c r="C103" s="20" t="s">
        <v>188</v>
      </c>
      <c r="D103" s="20" t="s">
        <v>402</v>
      </c>
      <c r="E103" s="20" t="s">
        <v>189</v>
      </c>
      <c r="F103" s="20"/>
      <c r="G103" s="20" t="s">
        <v>76</v>
      </c>
      <c r="H103" s="20">
        <v>8</v>
      </c>
      <c r="I103" s="20">
        <v>500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69"/>
      <c r="W103" s="69">
        <v>46202</v>
      </c>
      <c r="X103" s="20" t="s">
        <v>103</v>
      </c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</row>
    <row r="104" spans="1:90">
      <c r="A104" s="20" t="s">
        <v>123</v>
      </c>
      <c r="B104" s="20" t="s">
        <v>187</v>
      </c>
      <c r="C104" s="20" t="s">
        <v>188</v>
      </c>
      <c r="D104" s="20" t="s">
        <v>402</v>
      </c>
      <c r="E104" s="20" t="s">
        <v>189</v>
      </c>
      <c r="F104" s="20"/>
      <c r="G104" s="20" t="s">
        <v>76</v>
      </c>
      <c r="H104" s="20">
        <v>8</v>
      </c>
      <c r="I104" s="20">
        <v>500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69"/>
      <c r="W104" s="69">
        <v>46202</v>
      </c>
      <c r="X104" s="20" t="s">
        <v>101</v>
      </c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</row>
    <row r="105" spans="1:90">
      <c r="A105" s="20" t="s">
        <v>123</v>
      </c>
      <c r="B105" s="20" t="s">
        <v>187</v>
      </c>
      <c r="C105" s="20" t="s">
        <v>188</v>
      </c>
      <c r="D105" s="20" t="s">
        <v>402</v>
      </c>
      <c r="E105" s="20" t="s">
        <v>189</v>
      </c>
      <c r="F105" s="20"/>
      <c r="G105" s="20" t="s">
        <v>76</v>
      </c>
      <c r="H105" s="20">
        <v>8</v>
      </c>
      <c r="I105" s="20">
        <v>500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 t="s">
        <v>131</v>
      </c>
      <c r="V105" s="69">
        <v>46082</v>
      </c>
      <c r="W105" s="69">
        <v>46202</v>
      </c>
      <c r="X105" s="20" t="s">
        <v>102</v>
      </c>
      <c r="Y105" s="20">
        <v>3000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>
        <v>20</v>
      </c>
      <c r="AO105" s="20">
        <v>20</v>
      </c>
      <c r="AP105" s="20">
        <v>20</v>
      </c>
      <c r="AQ105" s="20">
        <v>20</v>
      </c>
      <c r="AR105" s="20">
        <v>20</v>
      </c>
      <c r="AS105" s="20">
        <v>40</v>
      </c>
      <c r="AT105" s="20">
        <v>40</v>
      </c>
      <c r="AU105" s="20">
        <v>40</v>
      </c>
      <c r="AV105" s="20">
        <v>60</v>
      </c>
      <c r="AW105" s="20">
        <v>60</v>
      </c>
      <c r="AX105" s="20">
        <v>60</v>
      </c>
      <c r="AY105" s="20">
        <v>60</v>
      </c>
      <c r="AZ105" s="20">
        <v>80</v>
      </c>
      <c r="BA105" s="20">
        <v>80</v>
      </c>
      <c r="BB105" s="20">
        <v>80</v>
      </c>
      <c r="BC105" s="20">
        <v>80</v>
      </c>
      <c r="BD105" s="20">
        <v>100</v>
      </c>
      <c r="BE105" s="20">
        <v>100</v>
      </c>
      <c r="BF105" s="20">
        <v>100</v>
      </c>
      <c r="BG105" s="20">
        <v>100</v>
      </c>
      <c r="BH105" s="20">
        <v>80</v>
      </c>
      <c r="BI105" s="20">
        <v>80</v>
      </c>
      <c r="BJ105" s="20">
        <v>80</v>
      </c>
      <c r="BK105" s="20">
        <v>80</v>
      </c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</row>
    <row r="106" spans="1:90">
      <c r="A106" s="20" t="s">
        <v>123</v>
      </c>
      <c r="B106" s="20" t="s">
        <v>190</v>
      </c>
      <c r="C106" s="20" t="s">
        <v>191</v>
      </c>
      <c r="D106" s="20" t="s">
        <v>402</v>
      </c>
      <c r="E106" s="20" t="s">
        <v>192</v>
      </c>
      <c r="F106" s="20"/>
      <c r="G106" s="20" t="s">
        <v>76</v>
      </c>
      <c r="H106" s="20">
        <v>2</v>
      </c>
      <c r="I106" s="20">
        <v>120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 t="s">
        <v>131</v>
      </c>
      <c r="V106" s="69">
        <v>46081</v>
      </c>
      <c r="W106" s="69">
        <v>46201</v>
      </c>
      <c r="X106" s="20" t="s">
        <v>103</v>
      </c>
      <c r="Y106" s="20">
        <v>1000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>
        <v>10</v>
      </c>
      <c r="AN106" s="20">
        <v>10</v>
      </c>
      <c r="AO106" s="20">
        <v>10</v>
      </c>
      <c r="AP106" s="20">
        <v>15</v>
      </c>
      <c r="AQ106" s="20">
        <v>15</v>
      </c>
      <c r="AR106" s="20">
        <v>15</v>
      </c>
      <c r="AS106" s="20">
        <v>15</v>
      </c>
      <c r="AT106" s="20">
        <v>10</v>
      </c>
      <c r="AU106" s="20">
        <v>10</v>
      </c>
      <c r="AV106" s="20">
        <v>10</v>
      </c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</row>
    <row r="107" spans="1:90">
      <c r="A107" s="20" t="s">
        <v>123</v>
      </c>
      <c r="B107" s="20" t="s">
        <v>193</v>
      </c>
      <c r="C107" s="20" t="s">
        <v>194</v>
      </c>
      <c r="D107" s="20" t="s">
        <v>402</v>
      </c>
      <c r="E107" s="20" t="s">
        <v>195</v>
      </c>
      <c r="F107" s="20"/>
      <c r="G107" s="20" t="s">
        <v>76</v>
      </c>
      <c r="H107" s="20">
        <v>3</v>
      </c>
      <c r="I107" s="20">
        <v>180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</v>
      </c>
      <c r="V107" s="69">
        <v>46096</v>
      </c>
      <c r="W107" s="69">
        <v>46216</v>
      </c>
      <c r="X107" s="20" t="s">
        <v>101</v>
      </c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>
        <v>15</v>
      </c>
      <c r="BC107" s="20">
        <v>15</v>
      </c>
      <c r="BD107" s="20">
        <v>15</v>
      </c>
      <c r="BE107" s="20">
        <v>20</v>
      </c>
      <c r="BF107" s="20">
        <v>20</v>
      </c>
      <c r="BG107" s="20">
        <v>20</v>
      </c>
      <c r="BH107" s="20">
        <v>20</v>
      </c>
      <c r="BI107" s="20">
        <v>20</v>
      </c>
      <c r="BJ107" s="20">
        <v>20</v>
      </c>
      <c r="BK107" s="20">
        <v>15</v>
      </c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</row>
    <row r="108" spans="1:90">
      <c r="A108" s="20" t="s">
        <v>123</v>
      </c>
      <c r="B108" s="20" t="s">
        <v>196</v>
      </c>
      <c r="C108" s="20" t="s">
        <v>197</v>
      </c>
      <c r="D108" s="20" t="s">
        <v>402</v>
      </c>
      <c r="E108" s="20" t="s">
        <v>130</v>
      </c>
      <c r="F108" s="20"/>
      <c r="G108" s="20" t="s">
        <v>76</v>
      </c>
      <c r="H108" s="20">
        <v>3.5</v>
      </c>
      <c r="I108" s="20">
        <v>210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 t="s">
        <v>131</v>
      </c>
      <c r="V108" s="69">
        <v>46101</v>
      </c>
      <c r="W108" s="69">
        <v>46221</v>
      </c>
      <c r="X108" s="20" t="s">
        <v>101</v>
      </c>
      <c r="Y108" s="20">
        <v>1000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>
        <v>15</v>
      </c>
      <c r="BH108" s="20">
        <v>15</v>
      </c>
      <c r="BI108" s="20">
        <v>20</v>
      </c>
      <c r="BJ108" s="20">
        <v>20</v>
      </c>
      <c r="BK108" s="20">
        <v>20</v>
      </c>
      <c r="BL108" s="20">
        <v>30</v>
      </c>
      <c r="BM108" s="20">
        <v>30</v>
      </c>
      <c r="BN108" s="20">
        <v>15</v>
      </c>
      <c r="BO108" s="20">
        <v>15</v>
      </c>
      <c r="BP108" s="20">
        <v>10</v>
      </c>
      <c r="BQ108" s="20">
        <v>10</v>
      </c>
      <c r="BR108" s="20">
        <v>10</v>
      </c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</row>
    <row r="109" spans="1:90">
      <c r="A109" s="20" t="s">
        <v>123</v>
      </c>
      <c r="B109" s="20" t="s">
        <v>198</v>
      </c>
      <c r="C109" s="20" t="s">
        <v>199</v>
      </c>
      <c r="D109" s="20" t="s">
        <v>402</v>
      </c>
      <c r="E109" s="20" t="s">
        <v>165</v>
      </c>
      <c r="F109" s="20"/>
      <c r="G109" s="20" t="s">
        <v>76</v>
      </c>
      <c r="H109" s="20">
        <v>4</v>
      </c>
      <c r="I109" s="20">
        <v>240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 t="s">
        <v>131</v>
      </c>
      <c r="V109" s="69">
        <v>46088</v>
      </c>
      <c r="W109" s="69">
        <v>46208</v>
      </c>
      <c r="X109" s="20" t="s">
        <v>103</v>
      </c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>
        <v>15</v>
      </c>
      <c r="AU109" s="20">
        <v>15</v>
      </c>
      <c r="AV109" s="20">
        <v>20</v>
      </c>
      <c r="AW109" s="20">
        <v>20</v>
      </c>
      <c r="AX109" s="20">
        <v>20</v>
      </c>
      <c r="AY109" s="20">
        <v>20</v>
      </c>
      <c r="AZ109" s="20">
        <v>20</v>
      </c>
      <c r="BA109" s="20">
        <v>20</v>
      </c>
      <c r="BB109" s="20">
        <v>20</v>
      </c>
      <c r="BC109" s="20">
        <v>20</v>
      </c>
      <c r="BD109" s="20">
        <v>15</v>
      </c>
      <c r="BE109" s="20">
        <v>15</v>
      </c>
      <c r="BF109" s="20">
        <v>10</v>
      </c>
      <c r="BG109" s="20">
        <v>10</v>
      </c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</row>
    <row r="110" spans="1:90">
      <c r="A110" s="20" t="s">
        <v>123</v>
      </c>
      <c r="B110" s="20" t="s">
        <v>200</v>
      </c>
      <c r="C110" s="20" t="s">
        <v>201</v>
      </c>
      <c r="D110" s="20" t="s">
        <v>203</v>
      </c>
      <c r="E110" s="20" t="s">
        <v>202</v>
      </c>
      <c r="F110" s="20"/>
      <c r="G110" s="20" t="s">
        <v>76</v>
      </c>
      <c r="H110" s="20">
        <v>10</v>
      </c>
      <c r="I110" s="20">
        <v>600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 t="s">
        <v>131</v>
      </c>
      <c r="V110" s="69">
        <v>46078</v>
      </c>
      <c r="W110" s="69">
        <v>46198</v>
      </c>
      <c r="X110" s="20" t="s">
        <v>102</v>
      </c>
      <c r="Y110" s="20">
        <v>3000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>
        <v>20</v>
      </c>
      <c r="AK110" s="20">
        <v>20</v>
      </c>
      <c r="AL110" s="20">
        <v>20</v>
      </c>
      <c r="AM110" s="20">
        <v>20</v>
      </c>
      <c r="AN110" s="20">
        <v>30</v>
      </c>
      <c r="AO110" s="20">
        <v>30</v>
      </c>
      <c r="AP110" s="20">
        <v>30</v>
      </c>
      <c r="AQ110" s="20">
        <v>30</v>
      </c>
      <c r="AR110" s="20">
        <v>30</v>
      </c>
      <c r="AS110" s="20">
        <v>30</v>
      </c>
      <c r="AT110" s="20">
        <v>30</v>
      </c>
      <c r="AU110" s="20">
        <v>30</v>
      </c>
      <c r="AV110" s="20">
        <v>40</v>
      </c>
      <c r="AW110" s="20">
        <v>40</v>
      </c>
      <c r="AX110" s="20">
        <v>40</v>
      </c>
      <c r="AY110" s="20">
        <v>40</v>
      </c>
      <c r="AZ110" s="20">
        <v>30</v>
      </c>
      <c r="BA110" s="20">
        <v>30</v>
      </c>
      <c r="BB110" s="20">
        <v>20</v>
      </c>
      <c r="BC110" s="20">
        <v>20</v>
      </c>
      <c r="BD110" s="20">
        <v>10</v>
      </c>
      <c r="BE110" s="20">
        <v>10</v>
      </c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</row>
    <row r="111" spans="1:90">
      <c r="A111" s="20" t="s">
        <v>123</v>
      </c>
      <c r="B111" s="20" t="s">
        <v>204</v>
      </c>
      <c r="C111" s="20" t="s">
        <v>205</v>
      </c>
      <c r="D111" s="20" t="s">
        <v>402</v>
      </c>
      <c r="E111" s="20" t="s">
        <v>165</v>
      </c>
      <c r="F111" s="20"/>
      <c r="G111" s="20" t="s">
        <v>76</v>
      </c>
      <c r="H111" s="20">
        <v>2.5</v>
      </c>
      <c r="I111" s="20">
        <v>150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 t="s">
        <v>131</v>
      </c>
      <c r="V111" s="69">
        <v>46091</v>
      </c>
      <c r="W111" s="69">
        <v>46211</v>
      </c>
      <c r="X111" s="20" t="s">
        <v>102</v>
      </c>
      <c r="Y111" s="20">
        <v>1000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>
        <v>10</v>
      </c>
      <c r="AX111" s="20">
        <v>10</v>
      </c>
      <c r="AY111" s="20">
        <v>10</v>
      </c>
      <c r="AZ111" s="20">
        <v>10</v>
      </c>
      <c r="BA111" s="20">
        <v>15</v>
      </c>
      <c r="BB111" s="20">
        <v>15</v>
      </c>
      <c r="BC111" s="20">
        <v>10</v>
      </c>
      <c r="BD111" s="20">
        <v>10</v>
      </c>
      <c r="BE111" s="20">
        <v>10</v>
      </c>
      <c r="BF111" s="20">
        <v>10</v>
      </c>
      <c r="BG111" s="20">
        <v>10</v>
      </c>
      <c r="BH111" s="20">
        <v>10</v>
      </c>
      <c r="BI111" s="20">
        <v>10</v>
      </c>
      <c r="BJ111" s="20">
        <v>10</v>
      </c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</row>
    <row r="112" spans="1:90">
      <c r="A112" s="20" t="s">
        <v>123</v>
      </c>
      <c r="B112" s="20" t="s">
        <v>206</v>
      </c>
      <c r="C112" s="20" t="s">
        <v>207</v>
      </c>
      <c r="D112" s="20" t="s">
        <v>402</v>
      </c>
      <c r="E112" s="20" t="s">
        <v>189</v>
      </c>
      <c r="F112" s="20"/>
      <c r="G112" s="20" t="s">
        <v>76</v>
      </c>
      <c r="H112" s="20">
        <v>3</v>
      </c>
      <c r="I112" s="20">
        <v>180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 t="s">
        <v>131</v>
      </c>
      <c r="V112" s="69">
        <v>46101</v>
      </c>
      <c r="W112" s="69">
        <v>46221</v>
      </c>
      <c r="X112" s="20" t="s">
        <v>102</v>
      </c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>
        <v>10</v>
      </c>
      <c r="BH112" s="20">
        <v>10</v>
      </c>
      <c r="BI112" s="20">
        <v>10</v>
      </c>
      <c r="BJ112" s="20">
        <v>15</v>
      </c>
      <c r="BK112" s="20">
        <v>15</v>
      </c>
      <c r="BL112" s="20">
        <v>20</v>
      </c>
      <c r="BM112" s="20">
        <v>20</v>
      </c>
      <c r="BN112" s="20">
        <v>15</v>
      </c>
      <c r="BO112" s="20">
        <v>15</v>
      </c>
      <c r="BP112" s="20">
        <v>10</v>
      </c>
      <c r="BQ112" s="20">
        <v>10</v>
      </c>
      <c r="BR112" s="20">
        <v>10</v>
      </c>
      <c r="BS112" s="20">
        <v>10</v>
      </c>
      <c r="BT112" s="20">
        <v>10</v>
      </c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</row>
    <row r="113" spans="1:90">
      <c r="A113" s="20" t="s">
        <v>123</v>
      </c>
      <c r="B113" s="20" t="s">
        <v>401</v>
      </c>
      <c r="C113" s="20" t="s">
        <v>208</v>
      </c>
      <c r="D113" s="20" t="s">
        <v>402</v>
      </c>
      <c r="E113" s="20" t="s">
        <v>209</v>
      </c>
      <c r="F113" s="20"/>
      <c r="G113" s="20" t="s">
        <v>76</v>
      </c>
      <c r="H113" s="20">
        <v>2</v>
      </c>
      <c r="I113" s="20">
        <v>120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 t="s">
        <v>131</v>
      </c>
      <c r="V113" s="69">
        <v>46122</v>
      </c>
      <c r="W113" s="69">
        <v>46232</v>
      </c>
      <c r="X113" s="20" t="s">
        <v>103</v>
      </c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>
        <v>20</v>
      </c>
      <c r="BR113" s="20">
        <v>20</v>
      </c>
      <c r="BS113" s="20">
        <v>20</v>
      </c>
      <c r="BT113" s="20">
        <v>20</v>
      </c>
      <c r="BU113" s="20">
        <v>20</v>
      </c>
      <c r="BV113" s="20">
        <v>20</v>
      </c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</row>
    <row r="114" spans="1:90">
      <c r="A114" s="20" t="s">
        <v>123</v>
      </c>
      <c r="B114" s="20" t="s">
        <v>210</v>
      </c>
      <c r="C114" s="20" t="s">
        <v>211</v>
      </c>
      <c r="D114" s="20" t="s">
        <v>402</v>
      </c>
      <c r="E114" s="20" t="s">
        <v>212</v>
      </c>
      <c r="F114" s="20"/>
      <c r="G114" s="20" t="s">
        <v>76</v>
      </c>
      <c r="H114" s="20">
        <v>2</v>
      </c>
      <c r="I114" s="20">
        <v>120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 t="s">
        <v>131</v>
      </c>
      <c r="V114" s="69">
        <v>46098</v>
      </c>
      <c r="W114" s="69">
        <v>46218</v>
      </c>
      <c r="X114" s="20" t="s">
        <v>101</v>
      </c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>
        <v>10</v>
      </c>
      <c r="BE114" s="20">
        <v>10</v>
      </c>
      <c r="BF114" s="20">
        <v>10</v>
      </c>
      <c r="BG114" s="20">
        <v>15</v>
      </c>
      <c r="BH114" s="20">
        <v>15</v>
      </c>
      <c r="BI114" s="20">
        <v>15</v>
      </c>
      <c r="BJ114" s="20">
        <v>15</v>
      </c>
      <c r="BK114" s="20">
        <v>10</v>
      </c>
      <c r="BL114" s="20">
        <v>10</v>
      </c>
      <c r="BM114" s="20">
        <v>10</v>
      </c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</row>
    <row r="115" spans="1:90">
      <c r="A115" s="20" t="s">
        <v>123</v>
      </c>
      <c r="B115" s="20" t="s">
        <v>213</v>
      </c>
      <c r="C115" s="20" t="s">
        <v>214</v>
      </c>
      <c r="D115" s="20" t="s">
        <v>402</v>
      </c>
      <c r="E115" s="20" t="s">
        <v>215</v>
      </c>
      <c r="F115" s="20"/>
      <c r="G115" s="20" t="s">
        <v>76</v>
      </c>
      <c r="H115" s="20">
        <v>5</v>
      </c>
      <c r="I115" s="20">
        <v>300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 t="s">
        <v>131</v>
      </c>
      <c r="V115" s="69">
        <v>46101</v>
      </c>
      <c r="W115" s="69">
        <v>46221</v>
      </c>
      <c r="X115" s="20" t="s">
        <v>102</v>
      </c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>
        <v>20</v>
      </c>
      <c r="BH115" s="20">
        <v>20</v>
      </c>
      <c r="BI115" s="20">
        <v>20</v>
      </c>
      <c r="BJ115" s="20">
        <v>20</v>
      </c>
      <c r="BK115" s="20">
        <v>30</v>
      </c>
      <c r="BL115" s="20">
        <v>30</v>
      </c>
      <c r="BM115" s="20">
        <v>30</v>
      </c>
      <c r="BN115" s="20">
        <v>20</v>
      </c>
      <c r="BO115" s="20">
        <v>20</v>
      </c>
      <c r="BP115" s="20">
        <v>20</v>
      </c>
      <c r="BQ115" s="20">
        <v>20</v>
      </c>
      <c r="BR115" s="20">
        <v>15</v>
      </c>
      <c r="BS115" s="20">
        <v>15</v>
      </c>
      <c r="BT115" s="20">
        <v>10</v>
      </c>
      <c r="BU115" s="20">
        <v>10</v>
      </c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</row>
    <row r="116" spans="1:90">
      <c r="A116" s="20" t="s">
        <v>123</v>
      </c>
      <c r="B116" s="20" t="s">
        <v>216</v>
      </c>
      <c r="C116" s="20" t="s">
        <v>217</v>
      </c>
      <c r="D116" s="20" t="s">
        <v>402</v>
      </c>
      <c r="E116" s="20" t="s">
        <v>165</v>
      </c>
      <c r="F116" s="20"/>
      <c r="G116" s="20" t="s">
        <v>76</v>
      </c>
      <c r="H116" s="20">
        <v>1</v>
      </c>
      <c r="I116" s="20">
        <v>60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 t="s">
        <v>131</v>
      </c>
      <c r="V116" s="69">
        <v>46091</v>
      </c>
      <c r="W116" s="69">
        <v>46211</v>
      </c>
      <c r="X116" s="20" t="s">
        <v>102</v>
      </c>
      <c r="Y116" s="20">
        <v>600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>
        <v>10</v>
      </c>
      <c r="AX116" s="20">
        <v>10</v>
      </c>
      <c r="AY116" s="20">
        <v>10</v>
      </c>
      <c r="AZ116" s="20">
        <v>10</v>
      </c>
      <c r="BA116" s="20">
        <v>10</v>
      </c>
      <c r="BB116" s="20">
        <v>10</v>
      </c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</row>
    <row r="117" spans="1:90">
      <c r="A117" s="20" t="s">
        <v>123</v>
      </c>
      <c r="B117" s="20" t="s">
        <v>218</v>
      </c>
      <c r="C117" s="20" t="s">
        <v>219</v>
      </c>
      <c r="D117" s="20" t="s">
        <v>402</v>
      </c>
      <c r="E117" s="20" t="s">
        <v>135</v>
      </c>
      <c r="F117" s="20"/>
      <c r="G117" s="20" t="s">
        <v>76</v>
      </c>
      <c r="H117" s="20">
        <v>3</v>
      </c>
      <c r="I117" s="20">
        <v>180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 t="s">
        <v>131</v>
      </c>
      <c r="V117" s="69">
        <v>46088</v>
      </c>
      <c r="W117" s="69">
        <v>46208</v>
      </c>
      <c r="X117" s="20" t="s">
        <v>102</v>
      </c>
      <c r="Y117" s="20">
        <v>1000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>
        <v>15</v>
      </c>
      <c r="AU117" s="20">
        <v>15</v>
      </c>
      <c r="AV117" s="20">
        <v>15</v>
      </c>
      <c r="AW117" s="20">
        <v>20</v>
      </c>
      <c r="AX117" s="20">
        <v>20</v>
      </c>
      <c r="AY117" s="20">
        <v>20</v>
      </c>
      <c r="AZ117" s="20">
        <v>20</v>
      </c>
      <c r="BA117" s="20">
        <v>20</v>
      </c>
      <c r="BB117" s="20">
        <v>15</v>
      </c>
      <c r="BC117" s="20">
        <v>10</v>
      </c>
      <c r="BD117" s="20">
        <v>10</v>
      </c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</row>
    <row r="118" spans="1:90">
      <c r="A118" s="20" t="s">
        <v>123</v>
      </c>
      <c r="B118" s="20" t="s">
        <v>220</v>
      </c>
      <c r="C118" s="20" t="s">
        <v>221</v>
      </c>
      <c r="D118" s="20" t="s">
        <v>402</v>
      </c>
      <c r="E118" s="20" t="s">
        <v>135</v>
      </c>
      <c r="F118" s="20"/>
      <c r="G118" s="20" t="s">
        <v>76</v>
      </c>
      <c r="H118" s="20">
        <v>2</v>
      </c>
      <c r="I118" s="20">
        <v>120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 t="s">
        <v>131</v>
      </c>
      <c r="V118" s="69">
        <v>46093</v>
      </c>
      <c r="W118" s="69">
        <v>46213</v>
      </c>
      <c r="X118" s="20" t="s">
        <v>102</v>
      </c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>
        <v>15</v>
      </c>
      <c r="AZ118" s="20">
        <v>15</v>
      </c>
      <c r="BA118" s="20">
        <v>15</v>
      </c>
      <c r="BB118" s="20">
        <v>15</v>
      </c>
      <c r="BC118" s="20">
        <v>20</v>
      </c>
      <c r="BD118" s="20">
        <v>20</v>
      </c>
      <c r="BE118" s="20">
        <v>10</v>
      </c>
      <c r="BF118" s="20">
        <v>10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</row>
    <row r="119" spans="1:90">
      <c r="A119" s="20" t="s">
        <v>123</v>
      </c>
      <c r="B119" s="20" t="s">
        <v>222</v>
      </c>
      <c r="C119" s="20" t="s">
        <v>223</v>
      </c>
      <c r="D119" s="20" t="s">
        <v>402</v>
      </c>
      <c r="E119" s="20" t="s">
        <v>143</v>
      </c>
      <c r="F119" s="20"/>
      <c r="G119" s="20" t="s">
        <v>76</v>
      </c>
      <c r="H119" s="20">
        <v>1</v>
      </c>
      <c r="I119" s="20">
        <v>60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 t="s">
        <v>131</v>
      </c>
      <c r="V119" s="69">
        <v>46096</v>
      </c>
      <c r="W119" s="69">
        <v>46216</v>
      </c>
      <c r="X119" s="20" t="s">
        <v>102</v>
      </c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>
        <v>10</v>
      </c>
      <c r="BC119" s="20">
        <v>10</v>
      </c>
      <c r="BD119" s="20">
        <v>10</v>
      </c>
      <c r="BE119" s="20">
        <v>10</v>
      </c>
      <c r="BF119" s="20">
        <v>10</v>
      </c>
      <c r="BG119" s="20">
        <v>10</v>
      </c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</row>
    <row r="120" spans="1:90">
      <c r="A120" s="20" t="s">
        <v>123</v>
      </c>
      <c r="B120" s="20" t="s">
        <v>224</v>
      </c>
      <c r="C120" s="20" t="s">
        <v>225</v>
      </c>
      <c r="D120" s="20" t="s">
        <v>402</v>
      </c>
      <c r="E120" s="20" t="s">
        <v>226</v>
      </c>
      <c r="F120" s="20"/>
      <c r="G120" s="20" t="s">
        <v>76</v>
      </c>
      <c r="H120" s="20">
        <v>6.5</v>
      </c>
      <c r="I120" s="20">
        <v>405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 t="s">
        <v>131</v>
      </c>
      <c r="V120" s="69">
        <v>46083</v>
      </c>
      <c r="W120" s="69">
        <v>46203</v>
      </c>
      <c r="X120" s="20" t="s">
        <v>101</v>
      </c>
      <c r="Y120" s="20">
        <v>2000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>
        <v>15</v>
      </c>
      <c r="AP120" s="20">
        <v>15</v>
      </c>
      <c r="AQ120" s="20">
        <v>20</v>
      </c>
      <c r="AR120" s="20">
        <v>20</v>
      </c>
      <c r="AS120" s="20">
        <v>20</v>
      </c>
      <c r="AT120" s="20">
        <v>20</v>
      </c>
      <c r="AU120" s="20">
        <v>20</v>
      </c>
      <c r="AV120" s="20">
        <v>20</v>
      </c>
      <c r="AW120" s="20">
        <v>30</v>
      </c>
      <c r="AX120" s="20">
        <v>30</v>
      </c>
      <c r="AY120" s="20">
        <v>30</v>
      </c>
      <c r="AZ120" s="20">
        <v>20</v>
      </c>
      <c r="BA120" s="20">
        <v>20</v>
      </c>
      <c r="BB120" s="20">
        <v>20</v>
      </c>
      <c r="BC120" s="20">
        <v>20</v>
      </c>
      <c r="BD120" s="20">
        <v>20</v>
      </c>
      <c r="BE120" s="20">
        <v>20</v>
      </c>
      <c r="BF120" s="20">
        <v>15</v>
      </c>
      <c r="BG120" s="20">
        <v>10</v>
      </c>
      <c r="BH120" s="20">
        <v>10</v>
      </c>
      <c r="BI120" s="20">
        <v>10</v>
      </c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</row>
    <row r="121" spans="1:90">
      <c r="A121" s="20" t="s">
        <v>123</v>
      </c>
      <c r="B121" s="20" t="s">
        <v>224</v>
      </c>
      <c r="C121" s="20" t="s">
        <v>225</v>
      </c>
      <c r="D121" s="20" t="s">
        <v>402</v>
      </c>
      <c r="E121" s="20" t="s">
        <v>226</v>
      </c>
      <c r="F121" s="20"/>
      <c r="G121" s="20" t="s">
        <v>76</v>
      </c>
      <c r="H121" s="20">
        <v>7</v>
      </c>
      <c r="I121" s="20">
        <v>485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 t="s">
        <v>131</v>
      </c>
      <c r="V121" s="69">
        <v>46083</v>
      </c>
      <c r="W121" s="69">
        <v>46203</v>
      </c>
      <c r="X121" s="20" t="s">
        <v>102</v>
      </c>
      <c r="Y121" s="20">
        <v>1500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</row>
    <row r="122" spans="1:90">
      <c r="A122" s="20" t="s">
        <v>123</v>
      </c>
      <c r="B122" s="20" t="s">
        <v>227</v>
      </c>
      <c r="C122" s="20" t="s">
        <v>228</v>
      </c>
      <c r="D122" s="20" t="s">
        <v>402</v>
      </c>
      <c r="E122" s="20" t="s">
        <v>135</v>
      </c>
      <c r="F122" s="20"/>
      <c r="G122" s="20" t="s">
        <v>76</v>
      </c>
      <c r="H122" s="20">
        <v>9</v>
      </c>
      <c r="I122" s="20">
        <v>540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 t="s">
        <v>131</v>
      </c>
      <c r="V122" s="69">
        <v>46078</v>
      </c>
      <c r="W122" s="69">
        <v>46198</v>
      </c>
      <c r="X122" s="20" t="s">
        <v>102</v>
      </c>
      <c r="Y122" s="20">
        <v>2000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>
        <v>20</v>
      </c>
      <c r="AL122" s="20">
        <v>20</v>
      </c>
      <c r="AM122" s="20">
        <v>20</v>
      </c>
      <c r="AN122" s="20">
        <v>20</v>
      </c>
      <c r="AO122" s="20">
        <v>30</v>
      </c>
      <c r="AP122" s="20">
        <v>30</v>
      </c>
      <c r="AQ122" s="20">
        <v>30</v>
      </c>
      <c r="AR122" s="20">
        <v>30</v>
      </c>
      <c r="AS122" s="20">
        <v>30</v>
      </c>
      <c r="AT122" s="20">
        <v>30</v>
      </c>
      <c r="AU122" s="20">
        <v>20</v>
      </c>
      <c r="AV122" s="20">
        <v>20</v>
      </c>
      <c r="AW122" s="20">
        <v>20</v>
      </c>
      <c r="AX122" s="20">
        <v>20</v>
      </c>
      <c r="AY122" s="20">
        <v>20</v>
      </c>
      <c r="AZ122" s="20">
        <v>20</v>
      </c>
      <c r="BA122" s="20">
        <v>20</v>
      </c>
      <c r="BB122" s="20">
        <v>20</v>
      </c>
      <c r="BC122" s="20">
        <v>20</v>
      </c>
      <c r="BD122" s="20">
        <v>20</v>
      </c>
      <c r="BE122" s="20">
        <v>20</v>
      </c>
      <c r="BF122" s="20">
        <v>20</v>
      </c>
      <c r="BG122" s="20">
        <v>20</v>
      </c>
      <c r="BH122" s="20">
        <v>20</v>
      </c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</row>
    <row r="123" spans="1:90">
      <c r="A123" s="20" t="s">
        <v>123</v>
      </c>
      <c r="B123" s="20" t="s">
        <v>229</v>
      </c>
      <c r="C123" s="20" t="s">
        <v>230</v>
      </c>
      <c r="D123" s="20" t="s">
        <v>402</v>
      </c>
      <c r="E123" s="20" t="s">
        <v>231</v>
      </c>
      <c r="F123" s="20"/>
      <c r="G123" s="20" t="s">
        <v>76</v>
      </c>
      <c r="H123" s="20">
        <v>1</v>
      </c>
      <c r="I123" s="20">
        <v>60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131</v>
      </c>
      <c r="V123" s="69">
        <v>46124</v>
      </c>
      <c r="W123" s="69">
        <v>46234</v>
      </c>
      <c r="X123" s="20" t="s">
        <v>101</v>
      </c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>
        <v>10</v>
      </c>
      <c r="BT123" s="20">
        <v>10</v>
      </c>
      <c r="BU123" s="20">
        <v>10</v>
      </c>
      <c r="BV123" s="20">
        <v>10</v>
      </c>
      <c r="BW123" s="20">
        <v>10</v>
      </c>
      <c r="BX123" s="20">
        <v>10</v>
      </c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</row>
    <row r="124" spans="1:90">
      <c r="A124" s="20" t="s">
        <v>123</v>
      </c>
      <c r="B124" s="20" t="s">
        <v>232</v>
      </c>
      <c r="C124" s="20" t="s">
        <v>233</v>
      </c>
      <c r="D124" s="20" t="s">
        <v>402</v>
      </c>
      <c r="E124" s="20" t="s">
        <v>159</v>
      </c>
      <c r="F124" s="20"/>
      <c r="G124" s="20" t="s">
        <v>76</v>
      </c>
      <c r="H124" s="20">
        <v>11.5</v>
      </c>
      <c r="I124" s="20">
        <v>700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 t="s">
        <v>131</v>
      </c>
      <c r="V124" s="69">
        <v>46073</v>
      </c>
      <c r="W124" s="69">
        <v>46198</v>
      </c>
      <c r="X124" s="20" t="s">
        <v>103</v>
      </c>
      <c r="Y124" s="20">
        <v>4000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>
        <v>20</v>
      </c>
      <c r="AK124" s="20">
        <v>20</v>
      </c>
      <c r="AL124" s="20">
        <v>20</v>
      </c>
      <c r="AM124" s="20">
        <v>20</v>
      </c>
      <c r="AN124" s="20">
        <v>20</v>
      </c>
      <c r="AO124" s="20">
        <v>40</v>
      </c>
      <c r="AP124" s="20">
        <v>40</v>
      </c>
      <c r="AQ124" s="20">
        <v>60</v>
      </c>
      <c r="AR124" s="20">
        <v>60</v>
      </c>
      <c r="AS124" s="20">
        <v>80</v>
      </c>
      <c r="AT124" s="20">
        <v>80</v>
      </c>
      <c r="AU124" s="20">
        <v>80</v>
      </c>
      <c r="AV124" s="20">
        <v>80</v>
      </c>
      <c r="AW124" s="20">
        <v>40</v>
      </c>
      <c r="AX124" s="20">
        <v>40</v>
      </c>
      <c r="AY124" s="20">
        <v>40</v>
      </c>
      <c r="AZ124" s="20">
        <v>40</v>
      </c>
      <c r="BA124" s="20">
        <v>40</v>
      </c>
      <c r="BB124" s="20">
        <v>40</v>
      </c>
      <c r="BC124" s="20">
        <v>40</v>
      </c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</row>
    <row r="125" spans="1:90">
      <c r="A125" s="20" t="s">
        <v>123</v>
      </c>
      <c r="B125" s="20" t="s">
        <v>232</v>
      </c>
      <c r="C125" s="20" t="s">
        <v>233</v>
      </c>
      <c r="D125" s="20" t="s">
        <v>402</v>
      </c>
      <c r="E125" s="20" t="s">
        <v>159</v>
      </c>
      <c r="F125" s="20"/>
      <c r="G125" s="20" t="s">
        <v>76</v>
      </c>
      <c r="H125" s="20">
        <v>3.5</v>
      </c>
      <c r="I125" s="20">
        <v>200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 t="s">
        <v>131</v>
      </c>
      <c r="V125" s="69">
        <v>46073</v>
      </c>
      <c r="W125" s="69">
        <v>46198</v>
      </c>
      <c r="X125" s="20" t="s">
        <v>102</v>
      </c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</row>
    <row r="126" spans="1:90">
      <c r="A126" s="20" t="s">
        <v>123</v>
      </c>
      <c r="B126" s="20" t="s">
        <v>234</v>
      </c>
      <c r="C126" s="20" t="s">
        <v>235</v>
      </c>
      <c r="D126" s="20" t="s">
        <v>402</v>
      </c>
      <c r="E126" s="20" t="s">
        <v>135</v>
      </c>
      <c r="F126" s="20"/>
      <c r="G126" s="20" t="s">
        <v>76</v>
      </c>
      <c r="H126" s="20">
        <v>3</v>
      </c>
      <c r="I126" s="20">
        <v>180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 t="s">
        <v>127</v>
      </c>
      <c r="V126" s="69">
        <v>46078</v>
      </c>
      <c r="W126" s="69">
        <v>46198</v>
      </c>
      <c r="X126" s="20" t="s">
        <v>103</v>
      </c>
      <c r="Y126" s="20">
        <v>1000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>
        <v>10</v>
      </c>
      <c r="AK126" s="20">
        <v>10</v>
      </c>
      <c r="AL126" s="20">
        <v>15</v>
      </c>
      <c r="AM126" s="20">
        <v>15</v>
      </c>
      <c r="AN126" s="20">
        <v>15</v>
      </c>
      <c r="AO126" s="20">
        <v>20</v>
      </c>
      <c r="AP126" s="20">
        <v>20</v>
      </c>
      <c r="AQ126" s="20">
        <v>15</v>
      </c>
      <c r="AR126" s="20">
        <v>15</v>
      </c>
      <c r="AS126" s="20">
        <v>15</v>
      </c>
      <c r="AT126" s="20">
        <v>10</v>
      </c>
      <c r="AU126" s="20">
        <v>10</v>
      </c>
      <c r="AV126" s="20">
        <v>10</v>
      </c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</row>
    <row r="127" spans="1:90">
      <c r="A127" s="20" t="s">
        <v>123</v>
      </c>
      <c r="B127" s="20" t="s">
        <v>236</v>
      </c>
      <c r="C127" s="20" t="s">
        <v>237</v>
      </c>
      <c r="D127" s="20" t="s">
        <v>402</v>
      </c>
      <c r="E127" s="20" t="s">
        <v>130</v>
      </c>
      <c r="F127" s="20"/>
      <c r="G127" s="20" t="s">
        <v>76</v>
      </c>
      <c r="H127" s="20">
        <v>3</v>
      </c>
      <c r="I127" s="20">
        <v>180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 t="s">
        <v>131</v>
      </c>
      <c r="V127" s="69">
        <v>46091</v>
      </c>
      <c r="W127" s="69">
        <v>46211</v>
      </c>
      <c r="X127" s="20" t="s">
        <v>103</v>
      </c>
      <c r="Y127" s="20">
        <v>1000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>
        <v>20</v>
      </c>
      <c r="AX127" s="20">
        <v>20</v>
      </c>
      <c r="AY127" s="20">
        <v>20</v>
      </c>
      <c r="AZ127" s="20">
        <v>20</v>
      </c>
      <c r="BA127" s="20">
        <v>30</v>
      </c>
      <c r="BB127" s="20">
        <v>30</v>
      </c>
      <c r="BC127" s="20">
        <v>20</v>
      </c>
      <c r="BD127" s="20">
        <v>20</v>
      </c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</row>
    <row r="128" spans="1:90">
      <c r="A128" s="20" t="s">
        <v>123</v>
      </c>
      <c r="B128" s="20" t="s">
        <v>238</v>
      </c>
      <c r="C128" s="20" t="s">
        <v>239</v>
      </c>
      <c r="D128" s="20" t="s">
        <v>402</v>
      </c>
      <c r="E128" s="20" t="s">
        <v>143</v>
      </c>
      <c r="F128" s="20"/>
      <c r="G128" s="20" t="s">
        <v>76</v>
      </c>
      <c r="H128" s="20">
        <v>2.5</v>
      </c>
      <c r="I128" s="20">
        <v>150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 t="s">
        <v>131</v>
      </c>
      <c r="V128" s="69">
        <v>46092</v>
      </c>
      <c r="W128" s="69">
        <v>46212</v>
      </c>
      <c r="X128" s="20" t="s">
        <v>102</v>
      </c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>
        <v>20</v>
      </c>
      <c r="AY128" s="20">
        <v>20</v>
      </c>
      <c r="AZ128" s="20">
        <v>20</v>
      </c>
      <c r="BA128" s="20">
        <v>20</v>
      </c>
      <c r="BB128" s="20">
        <v>20</v>
      </c>
      <c r="BC128" s="20">
        <v>20</v>
      </c>
      <c r="BD128" s="20">
        <v>15</v>
      </c>
      <c r="BE128" s="20">
        <v>15</v>
      </c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</row>
    <row r="129" spans="1:90">
      <c r="A129" s="20" t="s">
        <v>123</v>
      </c>
      <c r="B129" s="20" t="s">
        <v>240</v>
      </c>
      <c r="C129" s="20" t="s">
        <v>241</v>
      </c>
      <c r="D129" s="20" t="s">
        <v>402</v>
      </c>
      <c r="E129" s="20" t="s">
        <v>242</v>
      </c>
      <c r="F129" s="20"/>
      <c r="G129" s="20" t="s">
        <v>76</v>
      </c>
      <c r="H129" s="20">
        <v>4</v>
      </c>
      <c r="I129" s="20">
        <v>260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 t="s">
        <v>131</v>
      </c>
      <c r="V129" s="69">
        <v>46096</v>
      </c>
      <c r="W129" s="69">
        <v>46216</v>
      </c>
      <c r="X129" s="20" t="s">
        <v>102</v>
      </c>
      <c r="Y129" s="20">
        <v>1000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>
        <v>20</v>
      </c>
      <c r="BC129" s="20">
        <v>20</v>
      </c>
      <c r="BD129" s="20">
        <v>20</v>
      </c>
      <c r="BE129" s="20">
        <v>30</v>
      </c>
      <c r="BF129" s="20">
        <v>30</v>
      </c>
      <c r="BG129" s="20">
        <v>30</v>
      </c>
      <c r="BH129" s="20">
        <v>30</v>
      </c>
      <c r="BI129" s="20">
        <v>30</v>
      </c>
      <c r="BJ129" s="20">
        <v>20</v>
      </c>
      <c r="BK129" s="20">
        <v>10</v>
      </c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</row>
    <row r="130" spans="1:90">
      <c r="A130" s="20" t="s">
        <v>123</v>
      </c>
      <c r="B130" s="20" t="s">
        <v>243</v>
      </c>
      <c r="C130" s="20" t="s">
        <v>244</v>
      </c>
      <c r="D130" s="20" t="s">
        <v>402</v>
      </c>
      <c r="E130" s="20" t="s">
        <v>159</v>
      </c>
      <c r="F130" s="20"/>
      <c r="G130" s="20" t="s">
        <v>76</v>
      </c>
      <c r="H130" s="20">
        <v>5</v>
      </c>
      <c r="I130" s="20">
        <v>300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 t="s">
        <v>131</v>
      </c>
      <c r="V130" s="69">
        <v>46078</v>
      </c>
      <c r="W130" s="69">
        <v>46198</v>
      </c>
      <c r="X130" s="20" t="s">
        <v>102</v>
      </c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>
        <v>15</v>
      </c>
      <c r="AK130" s="20">
        <v>15</v>
      </c>
      <c r="AL130" s="20">
        <v>15</v>
      </c>
      <c r="AM130" s="20">
        <v>15</v>
      </c>
      <c r="AN130" s="20">
        <v>20</v>
      </c>
      <c r="AO130" s="20">
        <v>20</v>
      </c>
      <c r="AP130" s="20">
        <v>20</v>
      </c>
      <c r="AQ130" s="20">
        <v>20</v>
      </c>
      <c r="AR130" s="20">
        <v>30</v>
      </c>
      <c r="AS130" s="20">
        <v>30</v>
      </c>
      <c r="AT130" s="20">
        <v>30</v>
      </c>
      <c r="AU130" s="20">
        <v>40</v>
      </c>
      <c r="AV130" s="20">
        <v>40</v>
      </c>
      <c r="AW130" s="20">
        <v>30</v>
      </c>
      <c r="AX130" s="20">
        <v>30</v>
      </c>
      <c r="AY130" s="20">
        <v>30</v>
      </c>
      <c r="AZ130" s="20">
        <v>20</v>
      </c>
      <c r="BA130" s="20">
        <v>20</v>
      </c>
      <c r="BB130" s="20">
        <v>20</v>
      </c>
      <c r="BC130" s="20">
        <v>20</v>
      </c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</row>
    <row r="131" spans="1:90">
      <c r="A131" s="20" t="s">
        <v>123</v>
      </c>
      <c r="B131" s="20" t="s">
        <v>243</v>
      </c>
      <c r="C131" s="20" t="s">
        <v>244</v>
      </c>
      <c r="D131" s="20" t="s">
        <v>402</v>
      </c>
      <c r="E131" s="20" t="s">
        <v>159</v>
      </c>
      <c r="F131" s="20"/>
      <c r="G131" s="20" t="s">
        <v>76</v>
      </c>
      <c r="H131" s="20">
        <v>13</v>
      </c>
      <c r="I131" s="20">
        <v>800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 t="s">
        <v>131</v>
      </c>
      <c r="V131" s="69">
        <v>46078</v>
      </c>
      <c r="W131" s="69">
        <v>46198</v>
      </c>
      <c r="X131" s="20" t="s">
        <v>103</v>
      </c>
      <c r="Y131" s="20">
        <v>4000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</row>
    <row r="132" spans="1:90">
      <c r="A132" s="20" t="s">
        <v>123</v>
      </c>
      <c r="B132" s="20" t="s">
        <v>245</v>
      </c>
      <c r="C132" s="20" t="s">
        <v>246</v>
      </c>
      <c r="D132" s="20" t="s">
        <v>402</v>
      </c>
      <c r="E132" s="20" t="s">
        <v>242</v>
      </c>
      <c r="F132" s="20"/>
      <c r="G132" s="20" t="s">
        <v>76</v>
      </c>
      <c r="H132" s="20">
        <v>12</v>
      </c>
      <c r="I132" s="20">
        <v>620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 t="s">
        <v>131</v>
      </c>
      <c r="V132" s="69">
        <v>46076</v>
      </c>
      <c r="W132" s="69">
        <v>46204</v>
      </c>
      <c r="X132" s="20" t="s">
        <v>396</v>
      </c>
      <c r="Y132" s="20">
        <v>3000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>
        <v>20</v>
      </c>
      <c r="AQ132" s="20">
        <v>20</v>
      </c>
      <c r="AR132" s="20">
        <v>30</v>
      </c>
      <c r="AS132" s="20">
        <v>30</v>
      </c>
      <c r="AT132" s="20">
        <v>230</v>
      </c>
      <c r="AU132" s="20">
        <v>30</v>
      </c>
      <c r="AV132" s="20">
        <v>30</v>
      </c>
      <c r="AW132" s="20">
        <v>40</v>
      </c>
      <c r="AX132" s="20">
        <v>40</v>
      </c>
      <c r="AY132" s="20">
        <v>60</v>
      </c>
      <c r="AZ132" s="20">
        <v>60</v>
      </c>
      <c r="BA132" s="20">
        <v>80</v>
      </c>
      <c r="BB132" s="20">
        <v>80</v>
      </c>
      <c r="BC132" s="20">
        <v>80</v>
      </c>
      <c r="BD132" s="20">
        <v>100</v>
      </c>
      <c r="BE132" s="20">
        <v>100</v>
      </c>
      <c r="BF132" s="20">
        <v>100</v>
      </c>
      <c r="BG132" s="20">
        <v>70</v>
      </c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</row>
    <row r="133" spans="1:90">
      <c r="A133" s="20" t="s">
        <v>123</v>
      </c>
      <c r="B133" s="20" t="s">
        <v>245</v>
      </c>
      <c r="C133" s="20" t="s">
        <v>246</v>
      </c>
      <c r="D133" s="20" t="s">
        <v>402</v>
      </c>
      <c r="E133" s="20" t="s">
        <v>242</v>
      </c>
      <c r="F133" s="20"/>
      <c r="G133" s="20" t="s">
        <v>76</v>
      </c>
      <c r="H133" s="20">
        <v>8</v>
      </c>
      <c r="I133" s="20">
        <v>480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 t="s">
        <v>131</v>
      </c>
      <c r="V133" s="69">
        <v>46076</v>
      </c>
      <c r="W133" s="69">
        <v>46204</v>
      </c>
      <c r="X133" s="20" t="s">
        <v>103</v>
      </c>
      <c r="Y133" s="20">
        <v>2000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</row>
    <row r="134" spans="1:90">
      <c r="A134" s="20" t="s">
        <v>123</v>
      </c>
      <c r="B134" s="20" t="s">
        <v>247</v>
      </c>
      <c r="C134" s="20" t="s">
        <v>248</v>
      </c>
      <c r="D134" s="20" t="s">
        <v>402</v>
      </c>
      <c r="E134" s="20" t="s">
        <v>249</v>
      </c>
      <c r="F134" s="20"/>
      <c r="G134" s="20" t="s">
        <v>76</v>
      </c>
      <c r="H134" s="20">
        <v>2.5</v>
      </c>
      <c r="I134" s="20">
        <v>150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 t="s">
        <v>131</v>
      </c>
      <c r="V134" s="69">
        <v>46088</v>
      </c>
      <c r="W134" s="69">
        <v>46208</v>
      </c>
      <c r="X134" s="20" t="s">
        <v>102</v>
      </c>
      <c r="Y134" s="20">
        <v>1000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>
        <v>15</v>
      </c>
      <c r="AU134" s="20">
        <v>15</v>
      </c>
      <c r="AV134" s="20">
        <v>20</v>
      </c>
      <c r="AW134" s="20">
        <v>20</v>
      </c>
      <c r="AX134" s="20">
        <v>20</v>
      </c>
      <c r="AY134" s="20">
        <v>20</v>
      </c>
      <c r="AZ134" s="20">
        <v>20</v>
      </c>
      <c r="BA134" s="20">
        <v>20</v>
      </c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</row>
    <row r="135" spans="1:90">
      <c r="A135" s="20" t="s">
        <v>123</v>
      </c>
      <c r="B135" s="20" t="s">
        <v>250</v>
      </c>
      <c r="C135" s="20" t="s">
        <v>246</v>
      </c>
      <c r="D135" s="20" t="s">
        <v>402</v>
      </c>
      <c r="E135" s="20" t="s">
        <v>135</v>
      </c>
      <c r="F135" s="20"/>
      <c r="G135" s="20" t="s">
        <v>76</v>
      </c>
      <c r="H135" s="20">
        <v>2</v>
      </c>
      <c r="I135" s="20">
        <v>120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 t="s">
        <v>131</v>
      </c>
      <c r="V135" s="69">
        <v>46080</v>
      </c>
      <c r="W135" s="69">
        <v>46200</v>
      </c>
      <c r="X135" s="20" t="s">
        <v>102</v>
      </c>
      <c r="Y135" s="20">
        <v>1000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>
        <v>15</v>
      </c>
      <c r="AM135" s="20">
        <v>15</v>
      </c>
      <c r="AN135" s="20">
        <v>15</v>
      </c>
      <c r="AO135" s="20">
        <v>15</v>
      </c>
      <c r="AP135" s="20">
        <v>20</v>
      </c>
      <c r="AQ135" s="20">
        <v>15</v>
      </c>
      <c r="AR135" s="20">
        <v>15</v>
      </c>
      <c r="AS135" s="20">
        <v>10</v>
      </c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</row>
    <row r="136" spans="1:90">
      <c r="A136" s="20" t="s">
        <v>123</v>
      </c>
      <c r="B136" s="20" t="s">
        <v>251</v>
      </c>
      <c r="C136" s="20" t="s">
        <v>252</v>
      </c>
      <c r="D136" s="20" t="s">
        <v>402</v>
      </c>
      <c r="E136" s="20" t="s">
        <v>135</v>
      </c>
      <c r="F136" s="20"/>
      <c r="G136" s="20" t="s">
        <v>76</v>
      </c>
      <c r="H136" s="20">
        <v>0.7</v>
      </c>
      <c r="I136" s="20">
        <v>42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 t="s">
        <v>131</v>
      </c>
      <c r="V136" s="69">
        <v>46099</v>
      </c>
      <c r="W136" s="69">
        <v>46219</v>
      </c>
      <c r="X136" s="20" t="s">
        <v>101</v>
      </c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>
        <v>10</v>
      </c>
      <c r="BF136" s="20">
        <v>10</v>
      </c>
      <c r="BG136" s="20">
        <v>10</v>
      </c>
      <c r="BH136" s="20">
        <v>12</v>
      </c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</row>
    <row r="137" spans="1:90">
      <c r="A137" s="20" t="s">
        <v>123</v>
      </c>
      <c r="B137" s="20" t="s">
        <v>253</v>
      </c>
      <c r="C137" s="20" t="s">
        <v>254</v>
      </c>
      <c r="D137" s="20" t="s">
        <v>402</v>
      </c>
      <c r="E137" s="20" t="s">
        <v>143</v>
      </c>
      <c r="F137" s="20"/>
      <c r="G137" s="20" t="s">
        <v>76</v>
      </c>
      <c r="H137" s="20">
        <v>1.3</v>
      </c>
      <c r="I137" s="20">
        <v>78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 t="s">
        <v>131</v>
      </c>
      <c r="V137" s="69">
        <v>46127</v>
      </c>
      <c r="W137" s="69">
        <v>46237</v>
      </c>
      <c r="X137" s="20" t="s">
        <v>102</v>
      </c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>
        <v>10</v>
      </c>
      <c r="BW137" s="20">
        <v>10</v>
      </c>
      <c r="BX137" s="20">
        <v>10</v>
      </c>
      <c r="BY137" s="20">
        <v>15</v>
      </c>
      <c r="BZ137" s="20">
        <v>15</v>
      </c>
      <c r="CA137" s="20">
        <v>10</v>
      </c>
      <c r="CB137" s="20">
        <v>8</v>
      </c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</row>
    <row r="138" spans="1:90">
      <c r="A138" s="20" t="s">
        <v>123</v>
      </c>
      <c r="B138" s="20" t="s">
        <v>255</v>
      </c>
      <c r="C138" s="20" t="s">
        <v>256</v>
      </c>
      <c r="D138" s="20" t="s">
        <v>402</v>
      </c>
      <c r="E138" s="20" t="s">
        <v>130</v>
      </c>
      <c r="F138" s="20"/>
      <c r="G138" s="20" t="s">
        <v>76</v>
      </c>
      <c r="H138" s="20">
        <v>1.5</v>
      </c>
      <c r="I138" s="20">
        <v>90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 t="s">
        <v>131</v>
      </c>
      <c r="V138" s="69">
        <v>46095</v>
      </c>
      <c r="W138" s="69">
        <v>46215</v>
      </c>
      <c r="X138" s="20" t="s">
        <v>102</v>
      </c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>
        <v>10</v>
      </c>
      <c r="BB138" s="20">
        <v>10</v>
      </c>
      <c r="BC138" s="20">
        <v>10</v>
      </c>
      <c r="BD138" s="20">
        <v>15</v>
      </c>
      <c r="BE138" s="20">
        <v>15</v>
      </c>
      <c r="BF138" s="20">
        <v>10</v>
      </c>
      <c r="BG138" s="20">
        <v>10</v>
      </c>
      <c r="BH138" s="20">
        <v>10</v>
      </c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</row>
    <row r="139" spans="1:90">
      <c r="A139" s="20" t="s">
        <v>123</v>
      </c>
      <c r="B139" s="20" t="s">
        <v>257</v>
      </c>
      <c r="C139" s="20" t="s">
        <v>258</v>
      </c>
      <c r="D139" s="20" t="s">
        <v>402</v>
      </c>
      <c r="E139" s="20" t="s">
        <v>135</v>
      </c>
      <c r="F139" s="20"/>
      <c r="G139" s="20" t="s">
        <v>76</v>
      </c>
      <c r="H139" s="20">
        <v>3</v>
      </c>
      <c r="I139" s="20">
        <v>180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 t="s">
        <v>131</v>
      </c>
      <c r="V139" s="69">
        <v>46086</v>
      </c>
      <c r="W139" s="69">
        <v>46206</v>
      </c>
      <c r="X139" s="20" t="s">
        <v>103</v>
      </c>
      <c r="Y139" s="20">
        <v>1000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>
        <v>20</v>
      </c>
      <c r="AS139" s="20">
        <v>20</v>
      </c>
      <c r="AT139" s="20">
        <v>20</v>
      </c>
      <c r="AU139" s="20">
        <v>20</v>
      </c>
      <c r="AV139" s="20">
        <v>20</v>
      </c>
      <c r="AW139" s="20">
        <v>30</v>
      </c>
      <c r="AX139" s="20">
        <v>30</v>
      </c>
      <c r="AY139" s="20">
        <v>20</v>
      </c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</row>
    <row r="140" spans="1:90">
      <c r="A140" s="20" t="s">
        <v>123</v>
      </c>
      <c r="B140" s="20" t="s">
        <v>259</v>
      </c>
      <c r="C140" s="20" t="s">
        <v>260</v>
      </c>
      <c r="D140" s="20" t="s">
        <v>402</v>
      </c>
      <c r="E140" s="20" t="s">
        <v>135</v>
      </c>
      <c r="F140" s="20"/>
      <c r="G140" s="20" t="s">
        <v>76</v>
      </c>
      <c r="H140" s="20">
        <v>1</v>
      </c>
      <c r="I140" s="20">
        <v>60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 t="s">
        <v>131</v>
      </c>
      <c r="V140" s="69">
        <v>46101</v>
      </c>
      <c r="W140" s="69">
        <v>46221</v>
      </c>
      <c r="X140" s="20" t="s">
        <v>101</v>
      </c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>
        <v>10</v>
      </c>
      <c r="BH140" s="20">
        <v>10</v>
      </c>
      <c r="BI140" s="20">
        <v>10</v>
      </c>
      <c r="BJ140" s="20">
        <v>10</v>
      </c>
      <c r="BK140" s="20">
        <v>10</v>
      </c>
      <c r="BL140" s="20">
        <v>10</v>
      </c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</row>
    <row r="141" spans="1:90">
      <c r="A141" s="20" t="s">
        <v>123</v>
      </c>
      <c r="B141" s="20" t="s">
        <v>261</v>
      </c>
      <c r="C141" s="20" t="s">
        <v>262</v>
      </c>
      <c r="D141" s="20" t="s">
        <v>402</v>
      </c>
      <c r="E141" s="20" t="s">
        <v>146</v>
      </c>
      <c r="F141" s="20"/>
      <c r="G141" s="20" t="s">
        <v>76</v>
      </c>
      <c r="H141" s="20">
        <v>2</v>
      </c>
      <c r="I141" s="20">
        <v>120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 t="s">
        <v>131</v>
      </c>
      <c r="V141" s="69">
        <v>46122</v>
      </c>
      <c r="W141" s="69">
        <v>46232</v>
      </c>
      <c r="X141" s="20" t="s">
        <v>101</v>
      </c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>
        <v>15</v>
      </c>
      <c r="BR141" s="20">
        <v>15</v>
      </c>
      <c r="BS141" s="20">
        <v>15</v>
      </c>
      <c r="BT141" s="20">
        <v>20</v>
      </c>
      <c r="BU141" s="20">
        <v>20</v>
      </c>
      <c r="BV141" s="20">
        <v>15</v>
      </c>
      <c r="BW141" s="20">
        <v>10</v>
      </c>
      <c r="BX141" s="20">
        <v>10</v>
      </c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</row>
    <row r="142" spans="1:90">
      <c r="A142" s="20" t="s">
        <v>123</v>
      </c>
      <c r="B142" s="20" t="s">
        <v>263</v>
      </c>
      <c r="C142" s="20" t="s">
        <v>264</v>
      </c>
      <c r="D142" s="20" t="s">
        <v>402</v>
      </c>
      <c r="E142" s="20" t="s">
        <v>143</v>
      </c>
      <c r="F142" s="20"/>
      <c r="G142" s="20" t="s">
        <v>76</v>
      </c>
      <c r="H142" s="20">
        <v>12</v>
      </c>
      <c r="I142" s="20">
        <v>720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 t="s">
        <v>131</v>
      </c>
      <c r="V142" s="69">
        <v>46093</v>
      </c>
      <c r="W142" s="69">
        <v>46218</v>
      </c>
      <c r="X142" s="20" t="s">
        <v>103</v>
      </c>
      <c r="Y142" s="101">
        <v>5000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>
        <v>30</v>
      </c>
      <c r="BE142" s="20">
        <v>30</v>
      </c>
      <c r="BF142" s="20">
        <v>30</v>
      </c>
      <c r="BG142" s="20">
        <v>60</v>
      </c>
      <c r="BH142" s="20">
        <v>60</v>
      </c>
      <c r="BI142" s="20">
        <v>80</v>
      </c>
      <c r="BJ142" s="20">
        <v>80</v>
      </c>
      <c r="BK142" s="20">
        <v>60</v>
      </c>
      <c r="BL142" s="20">
        <v>60</v>
      </c>
      <c r="BM142" s="20">
        <v>60</v>
      </c>
      <c r="BN142" s="20">
        <v>60</v>
      </c>
      <c r="BO142" s="20">
        <v>40</v>
      </c>
      <c r="BP142" s="20">
        <v>40</v>
      </c>
      <c r="BQ142" s="20">
        <v>30</v>
      </c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</row>
    <row r="143" spans="1:90">
      <c r="A143" s="20" t="s">
        <v>123</v>
      </c>
      <c r="B143" s="20" t="s">
        <v>265</v>
      </c>
      <c r="C143" s="20" t="s">
        <v>266</v>
      </c>
      <c r="D143" s="20" t="s">
        <v>402</v>
      </c>
      <c r="E143" s="20" t="s">
        <v>135</v>
      </c>
      <c r="F143" s="20"/>
      <c r="G143" s="20" t="s">
        <v>76</v>
      </c>
      <c r="H143" s="20">
        <v>3</v>
      </c>
      <c r="I143" s="20">
        <v>180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 t="s">
        <v>131</v>
      </c>
      <c r="V143" s="69">
        <v>46106</v>
      </c>
      <c r="W143" s="69">
        <v>46226</v>
      </c>
      <c r="X143" s="20" t="s">
        <v>101</v>
      </c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>
        <v>15</v>
      </c>
      <c r="BM143" s="20">
        <v>15</v>
      </c>
      <c r="BN143" s="20">
        <v>15</v>
      </c>
      <c r="BO143" s="20">
        <v>20</v>
      </c>
      <c r="BP143" s="20">
        <v>20</v>
      </c>
      <c r="BQ143" s="20">
        <v>15</v>
      </c>
      <c r="BR143" s="20">
        <v>15</v>
      </c>
      <c r="BS143" s="20">
        <v>15</v>
      </c>
      <c r="BT143" s="20">
        <v>10</v>
      </c>
      <c r="BU143" s="20">
        <v>10</v>
      </c>
      <c r="BV143" s="20">
        <v>10</v>
      </c>
      <c r="BW143" s="20">
        <v>10</v>
      </c>
      <c r="BX143" s="20">
        <v>10</v>
      </c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</row>
    <row r="144" spans="1:90">
      <c r="A144" s="20" t="s">
        <v>123</v>
      </c>
      <c r="B144" s="20" t="s">
        <v>267</v>
      </c>
      <c r="C144" s="20" t="s">
        <v>268</v>
      </c>
      <c r="D144" s="20" t="s">
        <v>402</v>
      </c>
      <c r="E144" s="20" t="s">
        <v>130</v>
      </c>
      <c r="F144" s="20"/>
      <c r="G144" s="20" t="s">
        <v>76</v>
      </c>
      <c r="H144" s="20">
        <v>8</v>
      </c>
      <c r="I144" s="20">
        <v>480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 t="s">
        <v>131</v>
      </c>
      <c r="V144" s="69">
        <v>46082</v>
      </c>
      <c r="W144" s="69">
        <v>46208</v>
      </c>
      <c r="X144" s="20" t="s">
        <v>103</v>
      </c>
      <c r="Y144" s="20">
        <v>2000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>
        <v>20</v>
      </c>
      <c r="AU144" s="20">
        <v>20</v>
      </c>
      <c r="AV144" s="20">
        <v>20</v>
      </c>
      <c r="AW144" s="20">
        <v>20</v>
      </c>
      <c r="AX144" s="20">
        <v>40</v>
      </c>
      <c r="AY144" s="20">
        <v>40</v>
      </c>
      <c r="AZ144" s="20">
        <v>40</v>
      </c>
      <c r="BA144" s="20">
        <v>40</v>
      </c>
      <c r="BB144" s="20">
        <v>40</v>
      </c>
      <c r="BC144" s="20">
        <v>30</v>
      </c>
      <c r="BD144" s="20">
        <v>30</v>
      </c>
      <c r="BE144" s="20">
        <v>30</v>
      </c>
      <c r="BF144" s="20">
        <v>30</v>
      </c>
      <c r="BG144" s="20">
        <v>20</v>
      </c>
      <c r="BH144" s="20">
        <v>20</v>
      </c>
      <c r="BI144" s="20">
        <v>20</v>
      </c>
      <c r="BJ144" s="20">
        <v>20</v>
      </c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</row>
    <row r="145" spans="1:90">
      <c r="A145" s="20" t="s">
        <v>123</v>
      </c>
      <c r="B145" s="20" t="s">
        <v>269</v>
      </c>
      <c r="C145" s="20" t="s">
        <v>270</v>
      </c>
      <c r="D145" s="20" t="s">
        <v>402</v>
      </c>
      <c r="E145" s="20" t="s">
        <v>130</v>
      </c>
      <c r="F145" s="20"/>
      <c r="G145" s="20" t="s">
        <v>76</v>
      </c>
      <c r="H145" s="20">
        <v>5</v>
      </c>
      <c r="I145" s="20">
        <v>300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 t="s">
        <v>131</v>
      </c>
      <c r="V145" s="69">
        <v>46096</v>
      </c>
      <c r="W145" s="69">
        <v>46216</v>
      </c>
      <c r="X145" s="20" t="s">
        <v>102</v>
      </c>
      <c r="Y145" s="20">
        <v>2000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>
        <v>20</v>
      </c>
      <c r="BC145" s="20">
        <v>20</v>
      </c>
      <c r="BD145" s="20">
        <v>20</v>
      </c>
      <c r="BE145" s="20">
        <v>30</v>
      </c>
      <c r="BF145" s="20">
        <v>30</v>
      </c>
      <c r="BG145" s="20">
        <v>30</v>
      </c>
      <c r="BH145" s="20">
        <v>40</v>
      </c>
      <c r="BI145" s="20">
        <v>40</v>
      </c>
      <c r="BJ145" s="20">
        <v>40</v>
      </c>
      <c r="BK145" s="20">
        <v>30</v>
      </c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</row>
    <row r="146" spans="1:90">
      <c r="A146" s="20" t="s">
        <v>123</v>
      </c>
      <c r="B146" s="20" t="s">
        <v>271</v>
      </c>
      <c r="C146" s="20" t="s">
        <v>272</v>
      </c>
      <c r="D146" s="20" t="s">
        <v>402</v>
      </c>
      <c r="E146" s="20" t="s">
        <v>209</v>
      </c>
      <c r="F146" s="20"/>
      <c r="G146" s="20" t="s">
        <v>76</v>
      </c>
      <c r="H146" s="20">
        <v>2</v>
      </c>
      <c r="I146" s="20">
        <v>120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 t="s">
        <v>131</v>
      </c>
      <c r="V146" s="69">
        <v>46122</v>
      </c>
      <c r="W146" s="69">
        <v>46232</v>
      </c>
      <c r="X146" s="20" t="s">
        <v>101</v>
      </c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>
        <v>15</v>
      </c>
      <c r="BR146" s="20">
        <v>15</v>
      </c>
      <c r="BS146" s="20">
        <v>20</v>
      </c>
      <c r="BT146" s="20">
        <v>20</v>
      </c>
      <c r="BU146" s="20">
        <v>20</v>
      </c>
      <c r="BV146" s="20">
        <v>10</v>
      </c>
      <c r="BW146" s="20">
        <v>10</v>
      </c>
      <c r="BX146" s="20">
        <v>10</v>
      </c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</row>
    <row r="147" spans="1:90">
      <c r="A147" s="20" t="s">
        <v>123</v>
      </c>
      <c r="B147" s="20" t="s">
        <v>273</v>
      </c>
      <c r="C147" s="20" t="s">
        <v>274</v>
      </c>
      <c r="D147" s="20" t="s">
        <v>402</v>
      </c>
      <c r="E147" s="20" t="s">
        <v>275</v>
      </c>
      <c r="F147" s="20"/>
      <c r="G147" s="20" t="s">
        <v>76</v>
      </c>
      <c r="H147" s="20">
        <v>5</v>
      </c>
      <c r="I147" s="20">
        <v>300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 t="s">
        <v>131</v>
      </c>
      <c r="V147" s="69">
        <v>46119</v>
      </c>
      <c r="W147" s="69">
        <v>46239</v>
      </c>
      <c r="X147" s="20" t="s">
        <v>103</v>
      </c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>
        <v>20</v>
      </c>
      <c r="BY147" s="20">
        <v>20</v>
      </c>
      <c r="BZ147" s="20">
        <v>40</v>
      </c>
      <c r="CA147" s="20">
        <v>40</v>
      </c>
      <c r="CB147" s="20">
        <v>40</v>
      </c>
      <c r="CC147" s="20">
        <v>60</v>
      </c>
      <c r="CD147" s="20">
        <v>60</v>
      </c>
      <c r="CE147" s="20">
        <v>80</v>
      </c>
      <c r="CF147" s="20">
        <v>80</v>
      </c>
      <c r="CG147" s="20">
        <v>40</v>
      </c>
      <c r="CH147" s="20">
        <v>40</v>
      </c>
      <c r="CI147" s="20">
        <v>40</v>
      </c>
      <c r="CJ147" s="20">
        <v>40</v>
      </c>
      <c r="CK147" s="20">
        <v>40</v>
      </c>
      <c r="CL147" s="20"/>
    </row>
    <row r="148" spans="1:90">
      <c r="A148" s="20" t="s">
        <v>123</v>
      </c>
      <c r="B148" s="20" t="s">
        <v>273</v>
      </c>
      <c r="C148" s="20"/>
      <c r="D148" s="20" t="s">
        <v>402</v>
      </c>
      <c r="E148" s="20"/>
      <c r="F148" s="20"/>
      <c r="G148" s="20" t="s">
        <v>76</v>
      </c>
      <c r="H148" s="20">
        <v>5</v>
      </c>
      <c r="I148" s="20">
        <v>300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69">
        <v>46119</v>
      </c>
      <c r="W148" s="69">
        <v>46239</v>
      </c>
      <c r="X148" s="20" t="s">
        <v>102</v>
      </c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</row>
    <row r="149" spans="1:90">
      <c r="A149" s="20" t="s">
        <v>123</v>
      </c>
      <c r="B149" s="20" t="s">
        <v>276</v>
      </c>
      <c r="C149" s="20" t="s">
        <v>277</v>
      </c>
      <c r="D149" s="20" t="s">
        <v>402</v>
      </c>
      <c r="E149" s="20" t="s">
        <v>278</v>
      </c>
      <c r="F149" s="20"/>
      <c r="G149" s="20" t="s">
        <v>76</v>
      </c>
      <c r="H149" s="20">
        <v>3</v>
      </c>
      <c r="I149" s="20">
        <v>180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 t="s">
        <v>131</v>
      </c>
      <c r="V149" s="69">
        <v>46107</v>
      </c>
      <c r="W149" s="69">
        <v>46227</v>
      </c>
      <c r="X149" s="20" t="s">
        <v>102</v>
      </c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>
        <v>20</v>
      </c>
      <c r="BN149" s="20">
        <v>20</v>
      </c>
      <c r="BO149" s="20">
        <v>20</v>
      </c>
      <c r="BP149" s="20">
        <v>25</v>
      </c>
      <c r="BQ149" s="20">
        <v>25</v>
      </c>
      <c r="BR149" s="20">
        <v>25</v>
      </c>
      <c r="BS149" s="20">
        <v>25</v>
      </c>
      <c r="BT149" s="20">
        <v>20</v>
      </c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</row>
    <row r="150" spans="1:90">
      <c r="A150" s="20" t="s">
        <v>123</v>
      </c>
      <c r="B150" s="20" t="s">
        <v>279</v>
      </c>
      <c r="C150" s="20" t="s">
        <v>280</v>
      </c>
      <c r="D150" s="20" t="s">
        <v>402</v>
      </c>
      <c r="E150" s="20" t="s">
        <v>135</v>
      </c>
      <c r="F150" s="20"/>
      <c r="G150" s="20" t="s">
        <v>76</v>
      </c>
      <c r="H150" s="20">
        <v>1.5</v>
      </c>
      <c r="I150" s="20">
        <v>90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 t="s">
        <v>131</v>
      </c>
      <c r="V150" s="69">
        <v>46096</v>
      </c>
      <c r="W150" s="69">
        <v>46216</v>
      </c>
      <c r="X150" s="20" t="s">
        <v>102</v>
      </c>
      <c r="Y150" s="20">
        <v>1000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>
        <v>10</v>
      </c>
      <c r="BC150" s="20">
        <v>10</v>
      </c>
      <c r="BD150" s="20">
        <v>15</v>
      </c>
      <c r="BE150" s="20">
        <v>15</v>
      </c>
      <c r="BF150" s="20">
        <v>15</v>
      </c>
      <c r="BG150" s="20">
        <v>15</v>
      </c>
      <c r="BH150" s="20">
        <v>10</v>
      </c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</row>
    <row r="151" spans="1:90">
      <c r="A151" s="20" t="s">
        <v>123</v>
      </c>
      <c r="B151" s="20" t="s">
        <v>281</v>
      </c>
      <c r="C151" s="20"/>
      <c r="D151" s="20" t="s">
        <v>402</v>
      </c>
      <c r="E151" s="20" t="s">
        <v>282</v>
      </c>
      <c r="F151" s="20"/>
      <c r="G151" s="20" t="s">
        <v>76</v>
      </c>
      <c r="H151" s="20">
        <v>2</v>
      </c>
      <c r="I151" s="20">
        <v>120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 t="s">
        <v>131</v>
      </c>
      <c r="V151" s="69">
        <v>46124</v>
      </c>
      <c r="W151" s="69">
        <v>46234</v>
      </c>
      <c r="X151" s="20" t="s">
        <v>102</v>
      </c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>
        <v>15</v>
      </c>
      <c r="BT151" s="20">
        <v>15</v>
      </c>
      <c r="BU151" s="20">
        <v>20</v>
      </c>
      <c r="BV151" s="20">
        <v>20</v>
      </c>
      <c r="BW151" s="20">
        <v>20</v>
      </c>
      <c r="BX151" s="20">
        <v>10</v>
      </c>
      <c r="BY151" s="20">
        <v>10</v>
      </c>
      <c r="BZ151" s="20">
        <v>10</v>
      </c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</row>
    <row r="152" spans="1:90">
      <c r="A152" s="20" t="s">
        <v>123</v>
      </c>
      <c r="B152" s="20" t="s">
        <v>283</v>
      </c>
      <c r="C152" s="20" t="s">
        <v>284</v>
      </c>
      <c r="D152" s="20" t="s">
        <v>402</v>
      </c>
      <c r="E152" s="20" t="s">
        <v>285</v>
      </c>
      <c r="F152" s="20"/>
      <c r="G152" s="20" t="s">
        <v>76</v>
      </c>
      <c r="H152" s="20">
        <v>5.5</v>
      </c>
      <c r="I152" s="20">
        <v>385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 t="s">
        <v>131</v>
      </c>
      <c r="V152" s="69">
        <v>46081</v>
      </c>
      <c r="W152" s="69">
        <v>46204</v>
      </c>
      <c r="X152" s="20" t="s">
        <v>102</v>
      </c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>
        <v>20</v>
      </c>
      <c r="AQ152" s="20">
        <v>20</v>
      </c>
      <c r="AR152" s="20">
        <v>20</v>
      </c>
      <c r="AS152" s="20">
        <v>40</v>
      </c>
      <c r="AT152" s="20">
        <v>40</v>
      </c>
      <c r="AU152" s="20">
        <v>40</v>
      </c>
      <c r="AV152" s="20">
        <v>40</v>
      </c>
      <c r="AW152" s="20">
        <v>60</v>
      </c>
      <c r="AX152" s="20">
        <v>60</v>
      </c>
      <c r="AY152" s="20">
        <v>60</v>
      </c>
      <c r="AZ152" s="20">
        <v>60</v>
      </c>
      <c r="BA152" s="20">
        <v>60</v>
      </c>
      <c r="BB152" s="20">
        <v>40</v>
      </c>
      <c r="BC152" s="20">
        <v>40</v>
      </c>
      <c r="BD152" s="20">
        <v>40</v>
      </c>
      <c r="BE152" s="20">
        <v>40</v>
      </c>
      <c r="BF152" s="20">
        <v>30</v>
      </c>
      <c r="BG152" s="20">
        <v>20</v>
      </c>
      <c r="BH152" s="20">
        <v>20</v>
      </c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</row>
    <row r="153" spans="1:90">
      <c r="A153" s="20" t="s">
        <v>123</v>
      </c>
      <c r="B153" s="20" t="s">
        <v>283</v>
      </c>
      <c r="C153" s="20" t="s">
        <v>284</v>
      </c>
      <c r="D153" s="20" t="s">
        <v>402</v>
      </c>
      <c r="E153" s="20" t="s">
        <v>285</v>
      </c>
      <c r="F153" s="20"/>
      <c r="G153" s="20" t="s">
        <v>76</v>
      </c>
      <c r="H153" s="20">
        <v>7</v>
      </c>
      <c r="I153" s="20">
        <f>+H153*70</f>
        <v>490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 t="s">
        <v>131</v>
      </c>
      <c r="V153" s="69">
        <v>46081</v>
      </c>
      <c r="W153" s="69">
        <v>46204</v>
      </c>
      <c r="X153" s="20" t="s">
        <v>102</v>
      </c>
      <c r="Y153" s="20">
        <v>2000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</row>
    <row r="154" spans="1:90">
      <c r="A154" s="20" t="s">
        <v>123</v>
      </c>
      <c r="B154" s="20" t="s">
        <v>286</v>
      </c>
      <c r="C154" s="20" t="s">
        <v>287</v>
      </c>
      <c r="D154" s="20" t="s">
        <v>402</v>
      </c>
      <c r="E154" s="20" t="s">
        <v>143</v>
      </c>
      <c r="F154" s="20"/>
      <c r="G154" s="20" t="s">
        <v>76</v>
      </c>
      <c r="H154" s="20">
        <v>2.5</v>
      </c>
      <c r="I154" s="20">
        <v>150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 t="s">
        <v>131</v>
      </c>
      <c r="V154" s="69">
        <v>46107</v>
      </c>
      <c r="W154" s="69">
        <v>46227</v>
      </c>
      <c r="X154" s="20" t="s">
        <v>103</v>
      </c>
      <c r="Y154" s="101">
        <v>3000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>
        <v>15</v>
      </c>
      <c r="BN154" s="20">
        <v>15</v>
      </c>
      <c r="BO154" s="20">
        <v>15</v>
      </c>
      <c r="BP154" s="20">
        <v>20</v>
      </c>
      <c r="BQ154" s="20">
        <v>20</v>
      </c>
      <c r="BR154" s="20">
        <v>20</v>
      </c>
      <c r="BS154" s="20">
        <v>15</v>
      </c>
      <c r="BT154" s="20">
        <v>15</v>
      </c>
      <c r="BU154" s="20">
        <v>15</v>
      </c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</row>
    <row r="155" spans="1:90">
      <c r="A155" s="20" t="s">
        <v>123</v>
      </c>
      <c r="B155" s="20" t="s">
        <v>288</v>
      </c>
      <c r="C155" s="20" t="s">
        <v>289</v>
      </c>
      <c r="D155" s="20" t="s">
        <v>402</v>
      </c>
      <c r="E155" s="20" t="s">
        <v>130</v>
      </c>
      <c r="F155" s="20"/>
      <c r="G155" s="20" t="s">
        <v>76</v>
      </c>
      <c r="H155" s="20">
        <v>1.5</v>
      </c>
      <c r="I155" s="20">
        <v>90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 t="s">
        <v>131</v>
      </c>
      <c r="V155" s="69">
        <v>46099</v>
      </c>
      <c r="W155" s="69">
        <v>46219</v>
      </c>
      <c r="X155" s="20" t="s">
        <v>101</v>
      </c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>
        <v>15</v>
      </c>
      <c r="BF155" s="20">
        <v>15</v>
      </c>
      <c r="BG155" s="20">
        <v>15</v>
      </c>
      <c r="BH155" s="20">
        <v>15</v>
      </c>
      <c r="BI155" s="20">
        <v>10</v>
      </c>
      <c r="BJ155" s="20">
        <v>10</v>
      </c>
      <c r="BK155" s="20">
        <v>10</v>
      </c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</row>
    <row r="156" spans="1:90">
      <c r="A156" s="20" t="s">
        <v>123</v>
      </c>
      <c r="B156" s="20" t="s">
        <v>290</v>
      </c>
      <c r="C156" s="20" t="s">
        <v>291</v>
      </c>
      <c r="D156" s="20" t="s">
        <v>402</v>
      </c>
      <c r="E156" s="20" t="s">
        <v>181</v>
      </c>
      <c r="F156" s="20"/>
      <c r="G156" s="20" t="s">
        <v>76</v>
      </c>
      <c r="H156" s="20">
        <v>2</v>
      </c>
      <c r="I156" s="20">
        <v>120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 t="s">
        <v>131</v>
      </c>
      <c r="V156" s="69">
        <v>46073</v>
      </c>
      <c r="W156" s="69">
        <v>46193</v>
      </c>
      <c r="X156" s="20" t="s">
        <v>102</v>
      </c>
      <c r="Y156" s="20">
        <v>1000</v>
      </c>
      <c r="Z156" s="20"/>
      <c r="AA156" s="20"/>
      <c r="AB156" s="20"/>
      <c r="AC156" s="20"/>
      <c r="AD156" s="20"/>
      <c r="AE156" s="20">
        <v>20</v>
      </c>
      <c r="AF156" s="20">
        <v>20</v>
      </c>
      <c r="AG156" s="20">
        <v>20</v>
      </c>
      <c r="AH156" s="20">
        <v>20</v>
      </c>
      <c r="AI156" s="20">
        <v>20</v>
      </c>
      <c r="AJ156" s="20">
        <v>20</v>
      </c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</row>
    <row r="157" spans="1:90">
      <c r="A157" s="20" t="s">
        <v>123</v>
      </c>
      <c r="B157" s="20" t="s">
        <v>292</v>
      </c>
      <c r="C157" s="20"/>
      <c r="D157" s="20" t="s">
        <v>402</v>
      </c>
      <c r="E157" s="20" t="s">
        <v>159</v>
      </c>
      <c r="F157" s="20"/>
      <c r="G157" s="20" t="s">
        <v>76</v>
      </c>
      <c r="H157" s="20">
        <v>4</v>
      </c>
      <c r="I157" s="20">
        <v>200</v>
      </c>
      <c r="V157" s="69">
        <v>46082</v>
      </c>
      <c r="W157" s="69">
        <v>46204</v>
      </c>
      <c r="X157" s="20" t="s">
        <v>103</v>
      </c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</row>
    <row r="158" spans="1:90">
      <c r="A158" s="20" t="s">
        <v>123</v>
      </c>
      <c r="B158" s="20" t="s">
        <v>292</v>
      </c>
      <c r="C158" s="20"/>
      <c r="D158" s="20" t="s">
        <v>402</v>
      </c>
      <c r="E158" s="20" t="s">
        <v>159</v>
      </c>
      <c r="F158" s="20"/>
      <c r="G158" s="20" t="s">
        <v>76</v>
      </c>
      <c r="H158" s="20">
        <v>16</v>
      </c>
      <c r="I158" s="20">
        <v>1000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 t="s">
        <v>131</v>
      </c>
      <c r="V158" s="69">
        <v>46082</v>
      </c>
      <c r="W158" s="69">
        <v>46204</v>
      </c>
      <c r="X158" s="20" t="s">
        <v>396</v>
      </c>
      <c r="Y158" s="20">
        <v>3000</v>
      </c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>
        <v>20</v>
      </c>
      <c r="AQ158" s="20">
        <v>20</v>
      </c>
      <c r="AR158" s="20">
        <v>20</v>
      </c>
      <c r="AS158" s="20">
        <v>20</v>
      </c>
      <c r="AT158" s="20">
        <v>20</v>
      </c>
      <c r="AU158" s="20">
        <v>40</v>
      </c>
      <c r="AV158" s="20">
        <v>40</v>
      </c>
      <c r="AW158" s="20">
        <v>40</v>
      </c>
      <c r="AX158" s="20">
        <v>40</v>
      </c>
      <c r="AY158" s="20">
        <v>30</v>
      </c>
      <c r="AZ158" s="20">
        <v>30</v>
      </c>
      <c r="BA158" s="20">
        <v>30</v>
      </c>
      <c r="BB158" s="20">
        <v>30</v>
      </c>
      <c r="BC158" s="20">
        <v>30</v>
      </c>
      <c r="BD158" s="20">
        <v>40</v>
      </c>
      <c r="BE158" s="20">
        <v>40</v>
      </c>
      <c r="BF158" s="20">
        <v>30</v>
      </c>
      <c r="BG158" s="20">
        <v>30</v>
      </c>
      <c r="BH158" s="20">
        <v>30</v>
      </c>
      <c r="BI158" s="20">
        <v>30</v>
      </c>
      <c r="BJ158" s="20">
        <v>40</v>
      </c>
      <c r="BK158" s="20">
        <v>40</v>
      </c>
      <c r="BL158" s="20">
        <v>40</v>
      </c>
      <c r="BM158" s="20">
        <v>30</v>
      </c>
      <c r="BN158" s="20">
        <v>30</v>
      </c>
      <c r="BO158" s="20">
        <v>30</v>
      </c>
      <c r="BP158" s="20">
        <v>20</v>
      </c>
      <c r="BQ158" s="20">
        <v>20</v>
      </c>
      <c r="BR158" s="20">
        <v>20</v>
      </c>
      <c r="BS158" s="20">
        <v>20</v>
      </c>
      <c r="BT158" s="20">
        <v>20</v>
      </c>
      <c r="BU158" s="20">
        <v>20</v>
      </c>
      <c r="BV158" s="20">
        <v>20</v>
      </c>
      <c r="BW158" s="20">
        <v>20</v>
      </c>
      <c r="BX158" s="20">
        <v>20</v>
      </c>
      <c r="BY158" s="20">
        <v>20</v>
      </c>
      <c r="BZ158" s="20">
        <v>20</v>
      </c>
      <c r="CA158" s="20">
        <v>20</v>
      </c>
      <c r="CB158" s="20">
        <v>20</v>
      </c>
      <c r="CC158" s="20">
        <v>20</v>
      </c>
      <c r="CD158" s="20">
        <v>20</v>
      </c>
      <c r="CE158" s="20">
        <v>20</v>
      </c>
      <c r="CF158" s="20">
        <v>20</v>
      </c>
      <c r="CG158" s="20">
        <v>20</v>
      </c>
      <c r="CH158" s="20">
        <v>20</v>
      </c>
      <c r="CI158" s="20"/>
      <c r="CJ158" s="20"/>
      <c r="CK158" s="20"/>
      <c r="CL158" s="20"/>
    </row>
    <row r="159" spans="1:90" ht="18">
      <c r="A159" s="108" t="s">
        <v>405</v>
      </c>
      <c r="B159" s="108"/>
      <c r="C159" s="108"/>
      <c r="D159" s="108"/>
      <c r="E159" s="108"/>
      <c r="F159" s="108"/>
      <c r="G159" s="108"/>
      <c r="H159" s="104">
        <f>SUM(H78:H158)</f>
        <v>333</v>
      </c>
      <c r="I159" s="104">
        <f>SUM(I78:I158)</f>
        <v>21265</v>
      </c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11"/>
      <c r="W159" s="111"/>
      <c r="X159" s="108"/>
      <c r="Y159" s="108"/>
      <c r="Z159" s="108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</row>
    <row r="160" spans="1:90" s="18" customFormat="1">
      <c r="A160" s="34" t="s">
        <v>294</v>
      </c>
      <c r="B160" s="35" t="s">
        <v>295</v>
      </c>
      <c r="C160" s="34"/>
      <c r="D160" s="35" t="s">
        <v>203</v>
      </c>
      <c r="E160" s="35" t="s">
        <v>296</v>
      </c>
      <c r="F160" s="34"/>
      <c r="G160" s="34" t="s">
        <v>408</v>
      </c>
      <c r="H160" s="36">
        <v>9</v>
      </c>
      <c r="I160" s="37">
        <f>+H160*60</f>
        <v>540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 t="s">
        <v>297</v>
      </c>
      <c r="V160" s="38">
        <v>46073</v>
      </c>
      <c r="W160" s="38">
        <v>46195</v>
      </c>
      <c r="X160" s="34" t="s">
        <v>363</v>
      </c>
      <c r="Y160" s="39" t="s">
        <v>298</v>
      </c>
      <c r="Z160" s="39"/>
      <c r="AA160" s="34"/>
      <c r="AB160" s="34"/>
      <c r="AC160" s="34"/>
      <c r="AD160" s="34"/>
      <c r="AE160" s="34"/>
      <c r="AF160" s="34"/>
      <c r="AG160" s="40">
        <v>60</v>
      </c>
      <c r="AH160" s="40">
        <v>90</v>
      </c>
      <c r="AI160" s="40">
        <v>90</v>
      </c>
      <c r="AJ160" s="40">
        <v>90</v>
      </c>
      <c r="AK160" s="40">
        <v>90</v>
      </c>
      <c r="AL160" s="40">
        <v>90</v>
      </c>
      <c r="AM160" s="40">
        <v>90</v>
      </c>
      <c r="AN160" s="40">
        <v>60</v>
      </c>
      <c r="AO160" s="34"/>
      <c r="AP160" s="34"/>
      <c r="AQ160" s="34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1"/>
      <c r="CA160" s="35"/>
      <c r="CB160" s="35"/>
      <c r="CC160" s="35"/>
      <c r="CD160" s="35"/>
      <c r="CE160" s="35"/>
      <c r="CF160" s="34"/>
      <c r="CG160" s="34"/>
      <c r="CH160" s="34"/>
      <c r="CI160" s="34"/>
      <c r="CJ160" s="34"/>
      <c r="CK160" s="34"/>
      <c r="CL160" s="34"/>
    </row>
    <row r="161" spans="1:90" s="18" customFormat="1">
      <c r="A161" s="34" t="s">
        <v>294</v>
      </c>
      <c r="B161" s="35" t="s">
        <v>299</v>
      </c>
      <c r="C161" s="34"/>
      <c r="D161" s="35" t="s">
        <v>203</v>
      </c>
      <c r="E161" s="35" t="s">
        <v>300</v>
      </c>
      <c r="F161" s="34"/>
      <c r="G161" s="34" t="s">
        <v>408</v>
      </c>
      <c r="H161" s="36">
        <v>8.5</v>
      </c>
      <c r="I161" s="37">
        <f>+H161*70</f>
        <v>595</v>
      </c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 t="s">
        <v>297</v>
      </c>
      <c r="V161" s="38">
        <v>46093</v>
      </c>
      <c r="W161" s="38">
        <v>46208</v>
      </c>
      <c r="X161" s="34" t="s">
        <v>363</v>
      </c>
      <c r="Y161" s="39" t="s">
        <v>298</v>
      </c>
      <c r="Z161" s="39"/>
      <c r="AA161" s="40"/>
      <c r="AB161" s="40"/>
      <c r="AC161" s="40"/>
      <c r="AD161" s="40"/>
      <c r="AE161" s="40"/>
      <c r="AF161" s="40"/>
      <c r="AG161" s="34"/>
      <c r="AH161" s="34"/>
      <c r="AI161" s="34"/>
      <c r="AJ161" s="40"/>
      <c r="AK161" s="40"/>
      <c r="AL161" s="40"/>
      <c r="AM161" s="40"/>
      <c r="AN161" s="40"/>
      <c r="AO161" s="34"/>
      <c r="AP161" s="34"/>
      <c r="AQ161" s="34"/>
      <c r="AR161" s="34"/>
      <c r="AS161" s="34"/>
      <c r="AT161" s="40">
        <v>90</v>
      </c>
      <c r="AU161" s="40">
        <v>90</v>
      </c>
      <c r="AV161" s="40">
        <v>90</v>
      </c>
      <c r="AW161" s="40">
        <v>90</v>
      </c>
      <c r="AX161" s="40">
        <v>90</v>
      </c>
      <c r="AY161" s="40">
        <v>90</v>
      </c>
      <c r="AZ161" s="40">
        <v>90</v>
      </c>
      <c r="BA161" s="40">
        <v>60</v>
      </c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1"/>
      <c r="CA161" s="35"/>
      <c r="CB161" s="35"/>
      <c r="CC161" s="35"/>
      <c r="CD161" s="35"/>
      <c r="CE161" s="35"/>
      <c r="CF161" s="34"/>
      <c r="CG161" s="34"/>
      <c r="CH161" s="34"/>
      <c r="CI161" s="34"/>
      <c r="CJ161" s="34"/>
      <c r="CK161" s="34"/>
      <c r="CL161" s="34"/>
    </row>
    <row r="162" spans="1:90" s="18" customFormat="1">
      <c r="A162" s="34" t="s">
        <v>294</v>
      </c>
      <c r="B162" s="35" t="s">
        <v>301</v>
      </c>
      <c r="C162" s="34"/>
      <c r="D162" s="35" t="s">
        <v>203</v>
      </c>
      <c r="E162" s="35" t="s">
        <v>296</v>
      </c>
      <c r="F162" s="34"/>
      <c r="G162" s="34" t="s">
        <v>408</v>
      </c>
      <c r="H162" s="36">
        <v>6</v>
      </c>
      <c r="I162" s="37">
        <f>+H162*75</f>
        <v>450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 t="s">
        <v>297</v>
      </c>
      <c r="V162" s="38">
        <v>46084</v>
      </c>
      <c r="W162" s="38">
        <v>46203</v>
      </c>
      <c r="X162" s="34" t="s">
        <v>363</v>
      </c>
      <c r="Y162" s="39" t="s">
        <v>298</v>
      </c>
      <c r="Z162" s="39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34"/>
      <c r="AL162" s="34"/>
      <c r="AM162" s="34"/>
      <c r="AN162" s="34"/>
      <c r="AO162" s="42">
        <v>90</v>
      </c>
      <c r="AP162" s="42">
        <v>90</v>
      </c>
      <c r="AQ162" s="42">
        <v>90</v>
      </c>
      <c r="AR162" s="42">
        <v>90</v>
      </c>
      <c r="AS162" s="42">
        <v>90</v>
      </c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1"/>
      <c r="CA162" s="35"/>
      <c r="CB162" s="35"/>
      <c r="CC162" s="35"/>
      <c r="CD162" s="35"/>
      <c r="CE162" s="35"/>
      <c r="CF162" s="34"/>
      <c r="CG162" s="34"/>
      <c r="CH162" s="34"/>
      <c r="CI162" s="34"/>
      <c r="CJ162" s="34"/>
      <c r="CK162" s="34"/>
      <c r="CL162" s="34"/>
    </row>
    <row r="163" spans="1:90" s="18" customFormat="1">
      <c r="A163" s="34" t="s">
        <v>294</v>
      </c>
      <c r="B163" s="35" t="s">
        <v>295</v>
      </c>
      <c r="C163" s="34"/>
      <c r="D163" s="35" t="s">
        <v>203</v>
      </c>
      <c r="E163" s="35" t="s">
        <v>302</v>
      </c>
      <c r="F163" s="34"/>
      <c r="G163" s="34" t="s">
        <v>408</v>
      </c>
      <c r="H163" s="36">
        <v>8.5</v>
      </c>
      <c r="I163" s="37">
        <v>500</v>
      </c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8">
        <v>46073</v>
      </c>
      <c r="W163" s="38">
        <v>46193</v>
      </c>
      <c r="X163" s="34" t="s">
        <v>101</v>
      </c>
      <c r="Y163" s="39"/>
      <c r="Z163" s="39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34"/>
      <c r="AL163" s="34"/>
      <c r="AM163" s="34"/>
      <c r="AN163" s="34"/>
      <c r="AO163" s="42"/>
      <c r="AP163" s="42"/>
      <c r="AQ163" s="42"/>
      <c r="AR163" s="42"/>
      <c r="AS163" s="42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1"/>
      <c r="CA163" s="35"/>
      <c r="CB163" s="35"/>
      <c r="CC163" s="35"/>
      <c r="CD163" s="35"/>
      <c r="CE163" s="35"/>
      <c r="CF163" s="34"/>
      <c r="CG163" s="34"/>
      <c r="CH163" s="34"/>
      <c r="CI163" s="34"/>
      <c r="CJ163" s="34"/>
      <c r="CK163" s="34"/>
      <c r="CL163" s="34"/>
    </row>
    <row r="164" spans="1:90" s="18" customFormat="1">
      <c r="A164" s="34" t="s">
        <v>294</v>
      </c>
      <c r="B164" s="35" t="s">
        <v>295</v>
      </c>
      <c r="C164" s="34"/>
      <c r="D164" s="35" t="s">
        <v>203</v>
      </c>
      <c r="E164" s="35" t="s">
        <v>302</v>
      </c>
      <c r="F164" s="34"/>
      <c r="G164" s="34" t="s">
        <v>408</v>
      </c>
      <c r="H164" s="36">
        <v>8.5</v>
      </c>
      <c r="I164" s="37">
        <v>500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 t="s">
        <v>297</v>
      </c>
      <c r="V164" s="38">
        <v>46073</v>
      </c>
      <c r="W164" s="38">
        <v>46193</v>
      </c>
      <c r="X164" s="34" t="s">
        <v>103</v>
      </c>
      <c r="Y164" s="39">
        <v>3000</v>
      </c>
      <c r="Z164" s="39"/>
      <c r="AA164" s="40"/>
      <c r="AB164" s="40"/>
      <c r="AC164" s="40"/>
      <c r="AD164" s="40"/>
      <c r="AE164" s="40">
        <v>20</v>
      </c>
      <c r="AF164" s="40">
        <v>60</v>
      </c>
      <c r="AG164" s="40">
        <v>60</v>
      </c>
      <c r="AH164" s="40">
        <v>60</v>
      </c>
      <c r="AI164" s="40">
        <v>60</v>
      </c>
      <c r="AJ164" s="40">
        <v>100</v>
      </c>
      <c r="AK164" s="40">
        <v>100</v>
      </c>
      <c r="AL164" s="40">
        <v>100</v>
      </c>
      <c r="AM164" s="40">
        <v>100</v>
      </c>
      <c r="AN164" s="40">
        <v>100</v>
      </c>
      <c r="AO164" s="40">
        <v>60</v>
      </c>
      <c r="AP164" s="34">
        <v>60</v>
      </c>
      <c r="AQ164" s="34">
        <v>40</v>
      </c>
      <c r="AR164" s="34">
        <v>40</v>
      </c>
      <c r="AS164" s="34">
        <v>40</v>
      </c>
      <c r="AT164" s="34">
        <v>20</v>
      </c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1"/>
      <c r="CA164" s="35"/>
      <c r="CB164" s="35"/>
      <c r="CC164" s="35"/>
      <c r="CD164" s="35"/>
      <c r="CE164" s="35"/>
      <c r="CF164" s="34"/>
      <c r="CG164" s="34"/>
      <c r="CH164" s="34"/>
      <c r="CI164" s="34"/>
      <c r="CJ164" s="34"/>
      <c r="CK164" s="34"/>
      <c r="CL164" s="34"/>
    </row>
    <row r="165" spans="1:90" s="18" customFormat="1">
      <c r="A165" s="34" t="s">
        <v>294</v>
      </c>
      <c r="B165" s="35" t="s">
        <v>303</v>
      </c>
      <c r="C165" s="34"/>
      <c r="D165" s="35" t="s">
        <v>203</v>
      </c>
      <c r="E165" s="35" t="s">
        <v>304</v>
      </c>
      <c r="F165" s="34"/>
      <c r="G165" s="34" t="s">
        <v>408</v>
      </c>
      <c r="H165" s="36">
        <v>25</v>
      </c>
      <c r="I165" s="37">
        <v>1700</v>
      </c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 t="s">
        <v>297</v>
      </c>
      <c r="V165" s="38">
        <v>46073</v>
      </c>
      <c r="W165" s="38">
        <v>46193</v>
      </c>
      <c r="X165" s="34" t="s">
        <v>363</v>
      </c>
      <c r="Y165" s="39">
        <v>3000</v>
      </c>
      <c r="Z165" s="39"/>
      <c r="AA165" s="34"/>
      <c r="AB165" s="34"/>
      <c r="AC165" s="34"/>
      <c r="AD165" s="34"/>
      <c r="AE165" s="40">
        <v>80</v>
      </c>
      <c r="AF165" s="40">
        <v>100</v>
      </c>
      <c r="AG165" s="40">
        <v>100</v>
      </c>
      <c r="AH165" s="40">
        <v>120</v>
      </c>
      <c r="AI165" s="40">
        <v>120</v>
      </c>
      <c r="AJ165" s="40">
        <v>120</v>
      </c>
      <c r="AK165" s="40">
        <v>120</v>
      </c>
      <c r="AL165" s="40">
        <v>120</v>
      </c>
      <c r="AM165" s="40">
        <v>120</v>
      </c>
      <c r="AN165" s="40">
        <v>120</v>
      </c>
      <c r="AO165" s="40">
        <v>100</v>
      </c>
      <c r="AP165" s="40">
        <v>100</v>
      </c>
      <c r="AQ165" s="40">
        <v>60</v>
      </c>
      <c r="AR165" s="40">
        <v>60</v>
      </c>
      <c r="AS165" s="40">
        <v>60</v>
      </c>
      <c r="AT165" s="40">
        <v>40</v>
      </c>
      <c r="AU165" s="40">
        <v>40</v>
      </c>
      <c r="AV165" s="40">
        <v>40</v>
      </c>
      <c r="AW165" s="40">
        <v>20</v>
      </c>
      <c r="AX165" s="40">
        <v>20</v>
      </c>
      <c r="AY165" s="40">
        <v>20</v>
      </c>
      <c r="AZ165" s="40">
        <v>20</v>
      </c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1"/>
      <c r="CA165" s="35"/>
      <c r="CB165" s="35"/>
      <c r="CC165" s="35"/>
      <c r="CD165" s="35"/>
      <c r="CE165" s="35"/>
      <c r="CF165" s="34"/>
      <c r="CG165" s="34"/>
      <c r="CH165" s="34"/>
      <c r="CI165" s="34"/>
      <c r="CJ165" s="34"/>
      <c r="CK165" s="34"/>
      <c r="CL165" s="34"/>
    </row>
    <row r="166" spans="1:90" s="18" customFormat="1">
      <c r="A166" s="34" t="s">
        <v>294</v>
      </c>
      <c r="B166" s="35" t="s">
        <v>305</v>
      </c>
      <c r="C166" s="34"/>
      <c r="D166" s="35" t="s">
        <v>203</v>
      </c>
      <c r="E166" s="34" t="s">
        <v>306</v>
      </c>
      <c r="F166" s="34"/>
      <c r="G166" s="34" t="s">
        <v>408</v>
      </c>
      <c r="H166" s="36">
        <v>4</v>
      </c>
      <c r="I166" s="37">
        <v>220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 t="s">
        <v>297</v>
      </c>
      <c r="V166" s="38">
        <v>46091</v>
      </c>
      <c r="W166" s="38">
        <v>46211</v>
      </c>
      <c r="X166" s="34" t="s">
        <v>399</v>
      </c>
      <c r="Y166" s="39">
        <v>1000</v>
      </c>
      <c r="Z166" s="39"/>
      <c r="AA166" s="40"/>
      <c r="AB166" s="40"/>
      <c r="AC166" s="40"/>
      <c r="AD166" s="34"/>
      <c r="AE166" s="34"/>
      <c r="AF166" s="34"/>
      <c r="AG166" s="34"/>
      <c r="AH166" s="34"/>
      <c r="AI166" s="34"/>
      <c r="AJ166" s="34"/>
      <c r="AK166" s="34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>
        <v>30</v>
      </c>
      <c r="AX166" s="40">
        <v>30</v>
      </c>
      <c r="AY166" s="40">
        <v>30</v>
      </c>
      <c r="AZ166" s="40">
        <v>30</v>
      </c>
      <c r="BA166" s="40">
        <v>30</v>
      </c>
      <c r="BB166" s="40">
        <v>30</v>
      </c>
      <c r="BC166" s="40">
        <v>30</v>
      </c>
      <c r="BD166" s="40">
        <v>30</v>
      </c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1"/>
      <c r="CA166" s="35"/>
      <c r="CB166" s="35"/>
      <c r="CC166" s="35"/>
      <c r="CD166" s="35"/>
      <c r="CE166" s="35"/>
      <c r="CF166" s="34"/>
      <c r="CG166" s="34"/>
      <c r="CH166" s="34"/>
      <c r="CI166" s="34"/>
      <c r="CJ166" s="34"/>
      <c r="CK166" s="34"/>
      <c r="CL166" s="34"/>
    </row>
    <row r="167" spans="1:90" s="18" customFormat="1">
      <c r="A167" s="34" t="s">
        <v>294</v>
      </c>
      <c r="B167" s="35" t="s">
        <v>307</v>
      </c>
      <c r="C167" s="34"/>
      <c r="D167" s="35" t="s">
        <v>203</v>
      </c>
      <c r="E167" s="35" t="s">
        <v>308</v>
      </c>
      <c r="F167" s="34"/>
      <c r="G167" s="34" t="s">
        <v>408</v>
      </c>
      <c r="H167" s="36">
        <v>18</v>
      </c>
      <c r="I167" s="37">
        <v>1000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 t="s">
        <v>297</v>
      </c>
      <c r="V167" s="38">
        <v>46073</v>
      </c>
      <c r="W167" s="38">
        <v>46193</v>
      </c>
      <c r="X167" s="34" t="s">
        <v>399</v>
      </c>
      <c r="Y167" s="39">
        <v>7000</v>
      </c>
      <c r="Z167" s="39"/>
      <c r="AA167" s="40"/>
      <c r="AB167" s="40"/>
      <c r="AC167" s="40"/>
      <c r="AD167" s="40"/>
      <c r="AE167" s="40">
        <v>20</v>
      </c>
      <c r="AF167" s="40">
        <v>20</v>
      </c>
      <c r="AG167" s="40">
        <v>20</v>
      </c>
      <c r="AH167" s="40">
        <v>40</v>
      </c>
      <c r="AI167" s="40">
        <v>40</v>
      </c>
      <c r="AJ167" s="40">
        <v>40</v>
      </c>
      <c r="AK167" s="40">
        <v>40</v>
      </c>
      <c r="AL167" s="40">
        <v>100</v>
      </c>
      <c r="AM167" s="40">
        <v>100</v>
      </c>
      <c r="AN167" s="40">
        <v>100</v>
      </c>
      <c r="AO167" s="40">
        <v>100</v>
      </c>
      <c r="AP167" s="40">
        <v>100</v>
      </c>
      <c r="AQ167" s="40">
        <v>100</v>
      </c>
      <c r="AR167" s="40">
        <v>100</v>
      </c>
      <c r="AS167" s="40">
        <v>60</v>
      </c>
      <c r="AT167" s="40">
        <v>60</v>
      </c>
      <c r="AU167" s="40">
        <v>60</v>
      </c>
      <c r="AV167" s="40">
        <v>40</v>
      </c>
      <c r="AW167" s="40">
        <v>40</v>
      </c>
      <c r="AX167" s="40">
        <v>40</v>
      </c>
      <c r="AY167" s="40">
        <v>40</v>
      </c>
      <c r="AZ167" s="40">
        <v>40</v>
      </c>
      <c r="BA167" s="40">
        <v>40</v>
      </c>
      <c r="BB167" s="40">
        <v>40</v>
      </c>
      <c r="BC167" s="40">
        <v>20</v>
      </c>
      <c r="BD167" s="40">
        <v>20</v>
      </c>
      <c r="BE167" s="40">
        <v>20</v>
      </c>
      <c r="BF167" s="40">
        <v>20</v>
      </c>
      <c r="BG167" s="40">
        <v>20</v>
      </c>
      <c r="BH167" s="40">
        <v>20</v>
      </c>
      <c r="BI167" s="40">
        <v>20</v>
      </c>
      <c r="BJ167" s="40">
        <v>20</v>
      </c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1"/>
      <c r="CA167" s="35"/>
      <c r="CB167" s="35"/>
      <c r="CC167" s="35"/>
      <c r="CD167" s="35"/>
      <c r="CE167" s="35"/>
      <c r="CF167" s="34"/>
      <c r="CG167" s="34"/>
      <c r="CH167" s="34"/>
      <c r="CI167" s="34"/>
      <c r="CJ167" s="34"/>
      <c r="CK167" s="34"/>
      <c r="CL167" s="34"/>
    </row>
    <row r="168" spans="1:90" s="18" customFormat="1">
      <c r="A168" s="34" t="s">
        <v>294</v>
      </c>
      <c r="B168" s="35" t="s">
        <v>307</v>
      </c>
      <c r="C168" s="34"/>
      <c r="D168" s="35" t="s">
        <v>203</v>
      </c>
      <c r="E168" s="35" t="s">
        <v>308</v>
      </c>
      <c r="F168" s="34"/>
      <c r="G168" s="34" t="s">
        <v>408</v>
      </c>
      <c r="H168" s="36">
        <v>10</v>
      </c>
      <c r="I168" s="37">
        <v>550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8">
        <v>46073</v>
      </c>
      <c r="W168" s="38">
        <v>46193</v>
      </c>
      <c r="X168" s="34" t="s">
        <v>363</v>
      </c>
      <c r="Y168" s="39"/>
      <c r="Z168" s="39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1"/>
      <c r="CA168" s="35"/>
      <c r="CB168" s="35"/>
      <c r="CC168" s="35"/>
      <c r="CD168" s="35"/>
      <c r="CE168" s="35"/>
      <c r="CF168" s="34"/>
      <c r="CG168" s="34"/>
      <c r="CH168" s="34"/>
      <c r="CI168" s="34"/>
      <c r="CJ168" s="34"/>
      <c r="CK168" s="34"/>
      <c r="CL168" s="34"/>
    </row>
    <row r="169" spans="1:90" s="18" customFormat="1">
      <c r="A169" s="34" t="s">
        <v>294</v>
      </c>
      <c r="B169" s="35" t="s">
        <v>309</v>
      </c>
      <c r="C169" s="34"/>
      <c r="D169" s="35" t="s">
        <v>203</v>
      </c>
      <c r="E169" s="34" t="s">
        <v>310</v>
      </c>
      <c r="F169" s="34"/>
      <c r="G169" s="34" t="s">
        <v>408</v>
      </c>
      <c r="H169" s="36">
        <v>8</v>
      </c>
      <c r="I169" s="37">
        <f>+H169*60</f>
        <v>480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 t="s">
        <v>297</v>
      </c>
      <c r="V169" s="38">
        <v>46081</v>
      </c>
      <c r="W169" s="38">
        <v>46201</v>
      </c>
      <c r="X169" s="34" t="s">
        <v>363</v>
      </c>
      <c r="Y169" s="39">
        <v>3000</v>
      </c>
      <c r="Z169" s="39"/>
      <c r="AA169" s="40"/>
      <c r="AB169" s="40"/>
      <c r="AC169" s="40"/>
      <c r="AD169" s="40"/>
      <c r="AE169" s="40"/>
      <c r="AF169" s="40"/>
      <c r="AG169" s="40"/>
      <c r="AH169" s="34"/>
      <c r="AI169" s="34"/>
      <c r="AJ169" s="34"/>
      <c r="AK169" s="34"/>
      <c r="AL169" s="34"/>
      <c r="AM169" s="40">
        <v>20</v>
      </c>
      <c r="AN169" s="40">
        <v>20</v>
      </c>
      <c r="AO169" s="40">
        <v>20</v>
      </c>
      <c r="AP169" s="40">
        <v>20</v>
      </c>
      <c r="AQ169" s="40">
        <v>40</v>
      </c>
      <c r="AR169" s="40">
        <v>40</v>
      </c>
      <c r="AS169" s="40">
        <v>60</v>
      </c>
      <c r="AT169" s="40">
        <v>60</v>
      </c>
      <c r="AU169" s="40">
        <v>60</v>
      </c>
      <c r="AV169" s="40">
        <v>60</v>
      </c>
      <c r="AW169" s="40">
        <v>40</v>
      </c>
      <c r="AX169" s="40">
        <v>40</v>
      </c>
      <c r="AY169" s="40">
        <v>20</v>
      </c>
      <c r="AZ169" s="40">
        <v>20</v>
      </c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1"/>
      <c r="CA169" s="35"/>
      <c r="CB169" s="35"/>
      <c r="CC169" s="35"/>
      <c r="CD169" s="35"/>
      <c r="CE169" s="35"/>
      <c r="CF169" s="34"/>
      <c r="CG169" s="34"/>
      <c r="CH169" s="34"/>
      <c r="CI169" s="34"/>
      <c r="CJ169" s="34"/>
      <c r="CK169" s="34"/>
      <c r="CL169" s="34"/>
    </row>
    <row r="170" spans="1:90" s="18" customFormat="1">
      <c r="A170" s="34" t="s">
        <v>294</v>
      </c>
      <c r="B170" s="34" t="s">
        <v>311</v>
      </c>
      <c r="C170" s="34"/>
      <c r="D170" s="34" t="s">
        <v>203</v>
      </c>
      <c r="E170" s="34" t="s">
        <v>312</v>
      </c>
      <c r="F170" s="34"/>
      <c r="G170" s="34" t="s">
        <v>408</v>
      </c>
      <c r="H170" s="43">
        <v>9</v>
      </c>
      <c r="I170" s="34">
        <v>500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44">
        <v>46077</v>
      </c>
      <c r="W170" s="38">
        <v>46197</v>
      </c>
      <c r="X170" s="34" t="s">
        <v>101</v>
      </c>
      <c r="Y170" s="39"/>
      <c r="Z170" s="39"/>
      <c r="AA170" s="40"/>
      <c r="AB170" s="40"/>
      <c r="AC170" s="40"/>
      <c r="AD170" s="40"/>
      <c r="AE170" s="40"/>
      <c r="AF170" s="40"/>
      <c r="AG170" s="40"/>
      <c r="AH170" s="34"/>
      <c r="AI170" s="34"/>
      <c r="AJ170" s="34"/>
      <c r="AK170" s="34"/>
      <c r="AL170" s="34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1"/>
      <c r="CA170" s="35"/>
      <c r="CB170" s="35"/>
      <c r="CC170" s="35"/>
      <c r="CD170" s="35"/>
      <c r="CE170" s="35"/>
      <c r="CF170" s="34"/>
      <c r="CG170" s="34"/>
      <c r="CH170" s="34"/>
      <c r="CI170" s="34"/>
      <c r="CJ170" s="34"/>
      <c r="CK170" s="34"/>
      <c r="CL170" s="34"/>
    </row>
    <row r="171" spans="1:90" s="18" customFormat="1">
      <c r="A171" s="34" t="s">
        <v>294</v>
      </c>
      <c r="B171" s="34" t="s">
        <v>311</v>
      </c>
      <c r="C171" s="34"/>
      <c r="D171" s="34" t="s">
        <v>203</v>
      </c>
      <c r="E171" s="34" t="s">
        <v>312</v>
      </c>
      <c r="F171" s="34"/>
      <c r="G171" s="34" t="s">
        <v>408</v>
      </c>
      <c r="H171" s="43">
        <v>13</v>
      </c>
      <c r="I171" s="34">
        <v>700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 t="s">
        <v>297</v>
      </c>
      <c r="V171" s="44">
        <v>46077</v>
      </c>
      <c r="W171" s="38">
        <v>46197</v>
      </c>
      <c r="X171" s="34" t="s">
        <v>103</v>
      </c>
      <c r="Y171" s="39">
        <v>5000</v>
      </c>
      <c r="Z171" s="39"/>
      <c r="AA171" s="34"/>
      <c r="AB171" s="34"/>
      <c r="AC171" s="34"/>
      <c r="AD171" s="34"/>
      <c r="AE171" s="34"/>
      <c r="AF171" s="34"/>
      <c r="AG171" s="34"/>
      <c r="AH171" s="34"/>
      <c r="AI171" s="34">
        <v>20</v>
      </c>
      <c r="AJ171" s="34">
        <v>20</v>
      </c>
      <c r="AK171" s="34">
        <v>20</v>
      </c>
      <c r="AL171" s="34">
        <v>40</v>
      </c>
      <c r="AM171" s="34">
        <v>40</v>
      </c>
      <c r="AN171" s="34">
        <v>40</v>
      </c>
      <c r="AO171" s="34">
        <v>60</v>
      </c>
      <c r="AP171" s="34">
        <v>60</v>
      </c>
      <c r="AQ171" s="34">
        <v>60</v>
      </c>
      <c r="AR171" s="34">
        <v>80</v>
      </c>
      <c r="AS171" s="34">
        <v>80</v>
      </c>
      <c r="AT171" s="34">
        <v>80</v>
      </c>
      <c r="AU171" s="34">
        <v>80</v>
      </c>
      <c r="AV171" s="34">
        <v>80</v>
      </c>
      <c r="AW171" s="34">
        <v>80</v>
      </c>
      <c r="AX171" s="34">
        <v>80</v>
      </c>
      <c r="AY171" s="34">
        <v>60</v>
      </c>
      <c r="AZ171" s="34">
        <v>60</v>
      </c>
      <c r="BA171" s="34">
        <v>40</v>
      </c>
      <c r="BB171" s="34">
        <v>40</v>
      </c>
      <c r="BC171" s="34">
        <v>40</v>
      </c>
      <c r="BD171" s="34">
        <v>20</v>
      </c>
      <c r="BE171" s="34">
        <v>20</v>
      </c>
      <c r="BF171" s="34">
        <v>20</v>
      </c>
      <c r="BG171" s="34">
        <v>20</v>
      </c>
      <c r="BH171" s="34">
        <v>20</v>
      </c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8" customFormat="1">
      <c r="A172" s="34" t="s">
        <v>294</v>
      </c>
      <c r="B172" s="35" t="s">
        <v>313</v>
      </c>
      <c r="C172" s="34"/>
      <c r="D172" s="35" t="s">
        <v>315</v>
      </c>
      <c r="E172" s="35" t="s">
        <v>314</v>
      </c>
      <c r="F172" s="34"/>
      <c r="G172" s="34" t="s">
        <v>408</v>
      </c>
      <c r="H172" s="36">
        <v>28.5</v>
      </c>
      <c r="I172" s="37">
        <f>28.5*55</f>
        <v>1567.5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 t="s">
        <v>297</v>
      </c>
      <c r="V172" s="38">
        <v>46086</v>
      </c>
      <c r="W172" s="38">
        <v>46196</v>
      </c>
      <c r="X172" s="34" t="s">
        <v>363</v>
      </c>
      <c r="Y172" s="39">
        <v>6000</v>
      </c>
      <c r="Z172" s="39"/>
      <c r="AA172" s="40"/>
      <c r="AB172" s="40"/>
      <c r="AC172" s="40"/>
      <c r="AD172" s="40"/>
      <c r="AE172" s="40"/>
      <c r="AF172" s="40"/>
      <c r="AG172" s="40"/>
      <c r="AH172" s="40">
        <v>20</v>
      </c>
      <c r="AI172" s="40">
        <v>20</v>
      </c>
      <c r="AJ172" s="40">
        <v>60</v>
      </c>
      <c r="AK172" s="40">
        <v>60</v>
      </c>
      <c r="AL172" s="40">
        <v>100</v>
      </c>
      <c r="AM172" s="40">
        <v>100</v>
      </c>
      <c r="AN172" s="40">
        <v>100</v>
      </c>
      <c r="AO172" s="40">
        <v>100</v>
      </c>
      <c r="AP172" s="40">
        <v>100</v>
      </c>
      <c r="AQ172" s="40">
        <v>100</v>
      </c>
      <c r="AR172" s="40">
        <v>100</v>
      </c>
      <c r="AS172" s="40">
        <v>100</v>
      </c>
      <c r="AT172" s="40">
        <v>100</v>
      </c>
      <c r="AU172" s="40">
        <v>100</v>
      </c>
      <c r="AV172" s="40">
        <v>60</v>
      </c>
      <c r="AW172" s="40">
        <v>60</v>
      </c>
      <c r="AX172" s="40">
        <v>60</v>
      </c>
      <c r="AY172" s="40">
        <v>40</v>
      </c>
      <c r="AZ172" s="40">
        <v>40</v>
      </c>
      <c r="BA172" s="40">
        <v>40</v>
      </c>
      <c r="BB172" s="40">
        <v>40</v>
      </c>
      <c r="BC172" s="40">
        <v>40</v>
      </c>
      <c r="BD172" s="40">
        <v>40</v>
      </c>
      <c r="BE172" s="40">
        <v>20</v>
      </c>
      <c r="BF172" s="40">
        <v>20</v>
      </c>
      <c r="BG172" s="40">
        <v>20</v>
      </c>
      <c r="BH172" s="40">
        <v>20</v>
      </c>
      <c r="BI172" s="40">
        <v>20</v>
      </c>
      <c r="BJ172" s="40">
        <v>20</v>
      </c>
      <c r="BK172" s="40">
        <v>20</v>
      </c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1"/>
      <c r="CA172" s="35"/>
      <c r="CB172" s="35"/>
      <c r="CC172" s="35"/>
      <c r="CD172" s="35"/>
      <c r="CE172" s="35"/>
      <c r="CF172" s="34"/>
      <c r="CG172" s="34"/>
      <c r="CH172" s="34"/>
      <c r="CI172" s="34"/>
      <c r="CJ172" s="34"/>
      <c r="CK172" s="34"/>
      <c r="CL172" s="34"/>
    </row>
    <row r="173" spans="1:90" s="18" customFormat="1">
      <c r="A173" s="34" t="s">
        <v>294</v>
      </c>
      <c r="B173" s="35" t="s">
        <v>316</v>
      </c>
      <c r="C173" s="34"/>
      <c r="D173" s="35" t="s">
        <v>315</v>
      </c>
      <c r="E173" s="34" t="s">
        <v>315</v>
      </c>
      <c r="F173" s="34"/>
      <c r="G173" s="34" t="s">
        <v>408</v>
      </c>
      <c r="H173" s="36">
        <v>10</v>
      </c>
      <c r="I173" s="37">
        <v>600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 t="s">
        <v>297</v>
      </c>
      <c r="V173" s="38">
        <v>46081</v>
      </c>
      <c r="W173" s="38">
        <v>46202</v>
      </c>
      <c r="X173" s="34" t="s">
        <v>399</v>
      </c>
      <c r="Y173" s="39">
        <v>2500</v>
      </c>
      <c r="Z173" s="39"/>
      <c r="AA173" s="40"/>
      <c r="AB173" s="40"/>
      <c r="AC173" s="40"/>
      <c r="AD173" s="40"/>
      <c r="AE173" s="40"/>
      <c r="AF173" s="40"/>
      <c r="AG173" s="40"/>
      <c r="AH173" s="40"/>
      <c r="AI173" s="40"/>
      <c r="AJ173" s="34"/>
      <c r="AK173" s="34"/>
      <c r="AL173" s="34"/>
      <c r="AM173" s="40"/>
      <c r="AN173" s="40">
        <v>20</v>
      </c>
      <c r="AO173" s="40">
        <v>20</v>
      </c>
      <c r="AP173" s="40">
        <v>40</v>
      </c>
      <c r="AQ173" s="40">
        <v>40</v>
      </c>
      <c r="AR173" s="40">
        <v>40</v>
      </c>
      <c r="AS173" s="40">
        <v>40</v>
      </c>
      <c r="AT173" s="40">
        <v>40</v>
      </c>
      <c r="AU173" s="40">
        <v>40</v>
      </c>
      <c r="AV173" s="40">
        <v>40</v>
      </c>
      <c r="AW173" s="40">
        <v>40</v>
      </c>
      <c r="AX173" s="40">
        <v>40</v>
      </c>
      <c r="AY173" s="40">
        <v>40</v>
      </c>
      <c r="AZ173" s="40">
        <v>40</v>
      </c>
      <c r="BA173" s="40">
        <v>40</v>
      </c>
      <c r="BB173" s="40">
        <v>40</v>
      </c>
      <c r="BC173" s="40">
        <v>40</v>
      </c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1"/>
      <c r="CA173" s="35"/>
      <c r="CB173" s="35"/>
      <c r="CC173" s="35"/>
      <c r="CD173" s="35"/>
      <c r="CE173" s="35"/>
      <c r="CF173" s="34"/>
      <c r="CG173" s="34"/>
      <c r="CH173" s="34"/>
      <c r="CI173" s="34"/>
      <c r="CJ173" s="34"/>
      <c r="CK173" s="34"/>
      <c r="CL173" s="34"/>
    </row>
    <row r="174" spans="1:90" s="18" customFormat="1">
      <c r="A174" s="34" t="s">
        <v>294</v>
      </c>
      <c r="B174" s="35" t="s">
        <v>317</v>
      </c>
      <c r="C174" s="34"/>
      <c r="D174" s="35" t="s">
        <v>315</v>
      </c>
      <c r="E174" s="35" t="s">
        <v>318</v>
      </c>
      <c r="F174" s="34"/>
      <c r="G174" s="34" t="s">
        <v>408</v>
      </c>
      <c r="H174" s="36">
        <v>17</v>
      </c>
      <c r="I174" s="37">
        <f>+H174*60</f>
        <v>1020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 t="s">
        <v>297</v>
      </c>
      <c r="V174" s="38">
        <v>46082</v>
      </c>
      <c r="W174" s="38">
        <v>46202</v>
      </c>
      <c r="X174" s="34" t="s">
        <v>399</v>
      </c>
      <c r="Y174" s="39">
        <v>3000</v>
      </c>
      <c r="Z174" s="39"/>
      <c r="AA174" s="40"/>
      <c r="AB174" s="40"/>
      <c r="AC174" s="40"/>
      <c r="AD174" s="40"/>
      <c r="AE174" s="40"/>
      <c r="AF174" s="40"/>
      <c r="AG174" s="40"/>
      <c r="AH174" s="40"/>
      <c r="AI174" s="40"/>
      <c r="AJ174" s="35"/>
      <c r="AK174" s="35"/>
      <c r="AL174" s="34"/>
      <c r="AM174" s="34"/>
      <c r="AN174" s="40">
        <v>30</v>
      </c>
      <c r="AO174" s="40">
        <v>30</v>
      </c>
      <c r="AP174" s="40">
        <v>30</v>
      </c>
      <c r="AQ174" s="40">
        <v>30</v>
      </c>
      <c r="AR174" s="40">
        <v>30</v>
      </c>
      <c r="AS174" s="40">
        <v>60</v>
      </c>
      <c r="AT174" s="40">
        <v>60</v>
      </c>
      <c r="AU174" s="40">
        <v>60</v>
      </c>
      <c r="AV174" s="40">
        <v>60</v>
      </c>
      <c r="AW174" s="40">
        <v>60</v>
      </c>
      <c r="AX174" s="40">
        <v>60</v>
      </c>
      <c r="AY174" s="40">
        <v>60</v>
      </c>
      <c r="AZ174" s="40">
        <v>60</v>
      </c>
      <c r="BA174" s="40">
        <v>60</v>
      </c>
      <c r="BB174" s="40">
        <v>60</v>
      </c>
      <c r="BC174" s="40">
        <v>60</v>
      </c>
      <c r="BD174" s="40">
        <v>60</v>
      </c>
      <c r="BE174" s="40">
        <v>60</v>
      </c>
      <c r="BF174" s="40">
        <v>60</v>
      </c>
      <c r="BG174" s="40">
        <v>60</v>
      </c>
      <c r="BH174" s="40">
        <v>60</v>
      </c>
      <c r="BI174" s="40">
        <v>60</v>
      </c>
      <c r="BJ174" s="40">
        <v>60</v>
      </c>
      <c r="BK174" s="40">
        <v>60</v>
      </c>
      <c r="BL174" s="40">
        <v>40</v>
      </c>
      <c r="BM174" s="40">
        <v>40</v>
      </c>
      <c r="BN174" s="40">
        <v>40</v>
      </c>
      <c r="BO174" s="40">
        <v>40</v>
      </c>
      <c r="BP174" s="40">
        <v>20</v>
      </c>
      <c r="BQ174" s="40">
        <v>20</v>
      </c>
      <c r="BR174" s="40">
        <v>20</v>
      </c>
      <c r="BS174" s="40"/>
      <c r="BT174" s="40"/>
      <c r="BU174" s="40"/>
      <c r="BV174" s="40"/>
      <c r="BW174" s="40"/>
      <c r="BX174" s="40"/>
      <c r="BY174" s="40"/>
      <c r="BZ174" s="41"/>
      <c r="CA174" s="35"/>
      <c r="CB174" s="35"/>
      <c r="CC174" s="35"/>
      <c r="CD174" s="35"/>
      <c r="CE174" s="35"/>
      <c r="CF174" s="34"/>
      <c r="CG174" s="34"/>
      <c r="CH174" s="34"/>
      <c r="CI174" s="34"/>
      <c r="CJ174" s="34"/>
      <c r="CK174" s="34"/>
      <c r="CL174" s="34"/>
    </row>
    <row r="175" spans="1:90" s="18" customFormat="1">
      <c r="A175" s="34" t="s">
        <v>294</v>
      </c>
      <c r="B175" s="35" t="s">
        <v>317</v>
      </c>
      <c r="C175" s="34"/>
      <c r="D175" s="35" t="s">
        <v>315</v>
      </c>
      <c r="E175" s="35" t="s">
        <v>318</v>
      </c>
      <c r="F175" s="34"/>
      <c r="G175" s="34" t="s">
        <v>408</v>
      </c>
      <c r="H175" s="36">
        <v>8</v>
      </c>
      <c r="I175" s="37">
        <f>+H175*60</f>
        <v>480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8">
        <v>46082</v>
      </c>
      <c r="W175" s="38">
        <v>46202</v>
      </c>
      <c r="X175" s="34" t="s">
        <v>103</v>
      </c>
      <c r="Y175" s="39"/>
      <c r="Z175" s="39"/>
      <c r="AA175" s="40"/>
      <c r="AB175" s="40"/>
      <c r="AC175" s="40"/>
      <c r="AD175" s="40"/>
      <c r="AE175" s="40"/>
      <c r="AF175" s="40"/>
      <c r="AG175" s="40"/>
      <c r="AH175" s="40"/>
      <c r="AI175" s="40"/>
      <c r="AJ175" s="35"/>
      <c r="AK175" s="35"/>
      <c r="AL175" s="34"/>
      <c r="AM175" s="34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1"/>
      <c r="CA175" s="35"/>
      <c r="CB175" s="35"/>
      <c r="CC175" s="35"/>
      <c r="CD175" s="35"/>
      <c r="CE175" s="35"/>
      <c r="CF175" s="34"/>
      <c r="CG175" s="34"/>
      <c r="CH175" s="34"/>
      <c r="CI175" s="34"/>
      <c r="CJ175" s="34"/>
      <c r="CK175" s="34"/>
      <c r="CL175" s="34"/>
    </row>
    <row r="176" spans="1:90" s="18" customFormat="1">
      <c r="A176" s="34" t="s">
        <v>294</v>
      </c>
      <c r="B176" s="35" t="s">
        <v>303</v>
      </c>
      <c r="C176" s="34"/>
      <c r="D176" s="35" t="s">
        <v>315</v>
      </c>
      <c r="E176" s="34" t="s">
        <v>315</v>
      </c>
      <c r="F176" s="34"/>
      <c r="G176" s="34" t="s">
        <v>408</v>
      </c>
      <c r="H176" s="36">
        <v>15</v>
      </c>
      <c r="I176" s="37">
        <f>15*60</f>
        <v>900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 t="s">
        <v>297</v>
      </c>
      <c r="V176" s="38">
        <v>46073</v>
      </c>
      <c r="W176" s="38">
        <v>46204</v>
      </c>
      <c r="X176" s="34" t="s">
        <v>102</v>
      </c>
      <c r="Y176" s="39"/>
      <c r="Z176" s="39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>
        <v>60</v>
      </c>
      <c r="AQ176" s="40">
        <v>60</v>
      </c>
      <c r="AR176" s="40">
        <v>60</v>
      </c>
      <c r="AS176" s="40">
        <v>60</v>
      </c>
      <c r="AT176" s="40">
        <v>60</v>
      </c>
      <c r="AU176" s="40">
        <v>60</v>
      </c>
      <c r="AV176" s="40">
        <v>60</v>
      </c>
      <c r="AW176" s="40">
        <v>60</v>
      </c>
      <c r="AX176" s="40">
        <v>60</v>
      </c>
      <c r="AY176" s="40">
        <v>60</v>
      </c>
      <c r="AZ176" s="40">
        <v>60</v>
      </c>
      <c r="BA176" s="40">
        <v>60</v>
      </c>
      <c r="BB176" s="40">
        <v>60</v>
      </c>
      <c r="BC176" s="40">
        <v>60</v>
      </c>
      <c r="BD176" s="40">
        <v>60</v>
      </c>
      <c r="BE176" s="40">
        <v>60</v>
      </c>
      <c r="BF176" s="40">
        <v>60</v>
      </c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1"/>
      <c r="CA176" s="35"/>
      <c r="CB176" s="35"/>
      <c r="CC176" s="35"/>
      <c r="CD176" s="35"/>
      <c r="CE176" s="35"/>
      <c r="CF176" s="34"/>
      <c r="CG176" s="34"/>
      <c r="CH176" s="34"/>
      <c r="CI176" s="34"/>
      <c r="CJ176" s="34"/>
      <c r="CK176" s="34"/>
      <c r="CL176" s="34"/>
    </row>
    <row r="177" spans="1:127" s="18" customFormat="1">
      <c r="A177" s="34" t="s">
        <v>294</v>
      </c>
      <c r="B177" s="35" t="s">
        <v>319</v>
      </c>
      <c r="C177" s="34"/>
      <c r="D177" s="35" t="s">
        <v>321</v>
      </c>
      <c r="E177" s="35" t="s">
        <v>320</v>
      </c>
      <c r="F177" s="34"/>
      <c r="G177" s="34" t="s">
        <v>408</v>
      </c>
      <c r="H177" s="36">
        <v>16</v>
      </c>
      <c r="I177" s="37">
        <v>1000</v>
      </c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 t="s">
        <v>297</v>
      </c>
      <c r="V177" s="38">
        <v>46081</v>
      </c>
      <c r="W177" s="38">
        <v>46201</v>
      </c>
      <c r="X177" s="34" t="s">
        <v>103</v>
      </c>
      <c r="Y177" s="39">
        <v>4000</v>
      </c>
      <c r="Z177" s="39"/>
      <c r="AA177" s="40"/>
      <c r="AB177" s="40"/>
      <c r="AC177" s="40"/>
      <c r="AD177" s="40"/>
      <c r="AE177" s="34"/>
      <c r="AF177" s="34"/>
      <c r="AG177" s="34"/>
      <c r="AH177" s="34"/>
      <c r="AI177" s="34"/>
      <c r="AJ177" s="34"/>
      <c r="AK177" s="34"/>
      <c r="AL177" s="34"/>
      <c r="AM177" s="40">
        <v>60</v>
      </c>
      <c r="AN177" s="40">
        <v>60</v>
      </c>
      <c r="AO177" s="40">
        <v>60</v>
      </c>
      <c r="AP177" s="40">
        <v>80</v>
      </c>
      <c r="AQ177" s="40">
        <v>80</v>
      </c>
      <c r="AR177" s="40">
        <v>80</v>
      </c>
      <c r="AS177" s="40">
        <v>80</v>
      </c>
      <c r="AT177" s="40">
        <v>80</v>
      </c>
      <c r="AU177" s="40">
        <v>80</v>
      </c>
      <c r="AV177" s="40">
        <v>80</v>
      </c>
      <c r="AW177" s="40">
        <v>80</v>
      </c>
      <c r="AX177" s="40">
        <v>80</v>
      </c>
      <c r="AY177" s="40">
        <v>80</v>
      </c>
      <c r="AZ177" s="40">
        <v>80</v>
      </c>
      <c r="BA177" s="40">
        <v>80</v>
      </c>
      <c r="BB177" s="40">
        <v>80</v>
      </c>
      <c r="BC177" s="40">
        <v>80</v>
      </c>
      <c r="BD177" s="40">
        <v>40</v>
      </c>
      <c r="BE177" s="40">
        <v>40</v>
      </c>
      <c r="BF177" s="40">
        <v>40</v>
      </c>
      <c r="BG177" s="40">
        <v>20</v>
      </c>
      <c r="BH177" s="40">
        <v>20</v>
      </c>
      <c r="BI177" s="40">
        <v>20</v>
      </c>
      <c r="BJ177" s="40">
        <v>20</v>
      </c>
      <c r="BK177" s="40">
        <v>20</v>
      </c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1"/>
      <c r="CA177" s="35"/>
      <c r="CB177" s="35"/>
      <c r="CC177" s="35"/>
      <c r="CD177" s="35"/>
      <c r="CE177" s="35"/>
      <c r="CF177" s="34"/>
      <c r="CG177" s="34"/>
      <c r="CH177" s="34"/>
      <c r="CI177" s="34"/>
      <c r="CJ177" s="34"/>
      <c r="CK177" s="34"/>
      <c r="CL177" s="34"/>
    </row>
    <row r="178" spans="1:127" s="18" customFormat="1">
      <c r="A178" s="34" t="s">
        <v>294</v>
      </c>
      <c r="B178" s="35" t="s">
        <v>319</v>
      </c>
      <c r="C178" s="34"/>
      <c r="D178" s="35" t="s">
        <v>321</v>
      </c>
      <c r="E178" s="35" t="s">
        <v>320</v>
      </c>
      <c r="F178" s="34"/>
      <c r="G178" s="34" t="s">
        <v>408</v>
      </c>
      <c r="H178" s="36">
        <v>8</v>
      </c>
      <c r="I178" s="37">
        <v>500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8">
        <v>46081</v>
      </c>
      <c r="W178" s="38">
        <v>46201</v>
      </c>
      <c r="X178" s="34" t="s">
        <v>363</v>
      </c>
      <c r="Y178" s="39"/>
      <c r="Z178" s="39"/>
      <c r="AA178" s="40"/>
      <c r="AB178" s="40"/>
      <c r="AC178" s="40"/>
      <c r="AD178" s="40"/>
      <c r="AE178" s="34"/>
      <c r="AF178" s="34"/>
      <c r="AG178" s="34"/>
      <c r="AH178" s="34"/>
      <c r="AI178" s="34"/>
      <c r="AJ178" s="34"/>
      <c r="AK178" s="34"/>
      <c r="AL178" s="34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1"/>
      <c r="CA178" s="35"/>
      <c r="CB178" s="35"/>
      <c r="CC178" s="35"/>
      <c r="CD178" s="35"/>
      <c r="CE178" s="35"/>
      <c r="CF178" s="34"/>
      <c r="CG178" s="34"/>
      <c r="CH178" s="34"/>
      <c r="CI178" s="34"/>
      <c r="CJ178" s="34"/>
      <c r="CK178" s="34"/>
      <c r="CL178" s="34"/>
    </row>
    <row r="179" spans="1:127" s="18" customFormat="1">
      <c r="A179" s="34" t="s">
        <v>294</v>
      </c>
      <c r="B179" s="35" t="s">
        <v>322</v>
      </c>
      <c r="C179" s="34"/>
      <c r="D179" s="35" t="s">
        <v>321</v>
      </c>
      <c r="E179" s="35" t="s">
        <v>320</v>
      </c>
      <c r="F179" s="34"/>
      <c r="G179" s="34" t="s">
        <v>408</v>
      </c>
      <c r="H179" s="36">
        <v>5.5</v>
      </c>
      <c r="I179" s="37">
        <v>357.5</v>
      </c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 t="s">
        <v>297</v>
      </c>
      <c r="V179" s="38">
        <v>46091</v>
      </c>
      <c r="W179" s="38">
        <v>46206</v>
      </c>
      <c r="X179" s="34" t="s">
        <v>102</v>
      </c>
      <c r="Y179" s="39">
        <v>1500</v>
      </c>
      <c r="Z179" s="39"/>
      <c r="AA179" s="40"/>
      <c r="AB179" s="40"/>
      <c r="AC179" s="40"/>
      <c r="AD179" s="40"/>
      <c r="AE179" s="40"/>
      <c r="AF179" s="40"/>
      <c r="AG179" s="40"/>
      <c r="AH179" s="40"/>
      <c r="AI179" s="34"/>
      <c r="AJ179" s="34"/>
      <c r="AK179" s="34"/>
      <c r="AL179" s="34"/>
      <c r="AM179" s="34"/>
      <c r="AN179" s="34"/>
      <c r="AO179" s="34"/>
      <c r="AP179" s="34"/>
      <c r="AQ179" s="34"/>
      <c r="AR179" s="40">
        <v>20</v>
      </c>
      <c r="AS179" s="40">
        <v>40</v>
      </c>
      <c r="AT179" s="40">
        <v>20</v>
      </c>
      <c r="AU179" s="40">
        <v>40</v>
      </c>
      <c r="AV179" s="40">
        <v>20</v>
      </c>
      <c r="AW179" s="40">
        <v>40</v>
      </c>
      <c r="AX179" s="40">
        <v>20</v>
      </c>
      <c r="AY179" s="40">
        <v>40</v>
      </c>
      <c r="AZ179" s="40">
        <v>20</v>
      </c>
      <c r="BA179" s="40">
        <v>40</v>
      </c>
      <c r="BB179" s="40">
        <v>20</v>
      </c>
      <c r="BC179" s="40">
        <v>20</v>
      </c>
      <c r="BD179" s="40">
        <v>20</v>
      </c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1"/>
      <c r="CA179" s="35"/>
      <c r="CB179" s="35"/>
      <c r="CC179" s="35"/>
      <c r="CD179" s="35"/>
      <c r="CE179" s="35"/>
      <c r="CF179" s="34"/>
      <c r="CG179" s="34"/>
      <c r="CH179" s="34"/>
      <c r="CI179" s="34"/>
      <c r="CJ179" s="34"/>
      <c r="CK179" s="34"/>
      <c r="CL179" s="34"/>
    </row>
    <row r="180" spans="1:127" s="18" customFormat="1">
      <c r="A180" s="34" t="s">
        <v>294</v>
      </c>
      <c r="B180" s="35" t="s">
        <v>323</v>
      </c>
      <c r="C180" s="34"/>
      <c r="D180" s="35" t="s">
        <v>321</v>
      </c>
      <c r="E180" s="35" t="s">
        <v>324</v>
      </c>
      <c r="F180" s="34"/>
      <c r="G180" s="34" t="s">
        <v>408</v>
      </c>
      <c r="H180" s="36">
        <v>7</v>
      </c>
      <c r="I180" s="37">
        <v>480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 t="s">
        <v>297</v>
      </c>
      <c r="V180" s="38">
        <v>46087</v>
      </c>
      <c r="W180" s="38">
        <v>46202</v>
      </c>
      <c r="X180" s="34" t="s">
        <v>101</v>
      </c>
      <c r="Y180" s="39">
        <v>2000</v>
      </c>
      <c r="Z180" s="39"/>
      <c r="AA180" s="40"/>
      <c r="AB180" s="40"/>
      <c r="AC180" s="40"/>
      <c r="AD180" s="40"/>
      <c r="AE180" s="40"/>
      <c r="AF180" s="40"/>
      <c r="AG180" s="40"/>
      <c r="AH180" s="40"/>
      <c r="AI180" s="34"/>
      <c r="AJ180" s="34"/>
      <c r="AK180" s="34"/>
      <c r="AL180" s="34"/>
      <c r="AM180" s="34"/>
      <c r="AN180" s="40">
        <v>20</v>
      </c>
      <c r="AO180" s="40">
        <v>40</v>
      </c>
      <c r="AP180" s="40">
        <v>40</v>
      </c>
      <c r="AQ180" s="40">
        <v>40</v>
      </c>
      <c r="AR180" s="40">
        <v>40</v>
      </c>
      <c r="AS180" s="40">
        <v>40</v>
      </c>
      <c r="AT180" s="40">
        <v>40</v>
      </c>
      <c r="AU180" s="40">
        <v>40</v>
      </c>
      <c r="AV180" s="40">
        <v>40</v>
      </c>
      <c r="AW180" s="40">
        <v>40</v>
      </c>
      <c r="AX180" s="40">
        <v>40</v>
      </c>
      <c r="AY180" s="40">
        <v>40</v>
      </c>
      <c r="AZ180" s="40">
        <v>40</v>
      </c>
      <c r="BA180" s="40">
        <v>40</v>
      </c>
      <c r="BB180" s="40">
        <v>40</v>
      </c>
      <c r="BC180" s="40">
        <v>40</v>
      </c>
      <c r="BD180" s="40">
        <v>40</v>
      </c>
      <c r="BE180" s="40">
        <v>40</v>
      </c>
      <c r="BF180" s="40">
        <v>40</v>
      </c>
      <c r="BG180" s="40">
        <v>40</v>
      </c>
      <c r="BH180" s="40">
        <v>40</v>
      </c>
      <c r="BI180" s="40">
        <v>40</v>
      </c>
      <c r="BJ180" s="40">
        <v>20</v>
      </c>
      <c r="BK180" s="40">
        <v>20</v>
      </c>
      <c r="BL180" s="40">
        <v>20</v>
      </c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1"/>
      <c r="CA180" s="35"/>
      <c r="CB180" s="35"/>
      <c r="CC180" s="35"/>
      <c r="CD180" s="35"/>
      <c r="CE180" s="35"/>
      <c r="CF180" s="34"/>
      <c r="CG180" s="34"/>
      <c r="CH180" s="34"/>
      <c r="CI180" s="34"/>
      <c r="CJ180" s="34"/>
      <c r="CK180" s="34"/>
      <c r="CL180" s="34"/>
    </row>
    <row r="181" spans="1:127" s="18" customFormat="1">
      <c r="A181" s="34" t="s">
        <v>294</v>
      </c>
      <c r="B181" s="35" t="s">
        <v>323</v>
      </c>
      <c r="C181" s="34"/>
      <c r="D181" s="35" t="s">
        <v>321</v>
      </c>
      <c r="E181" s="35" t="s">
        <v>324</v>
      </c>
      <c r="F181" s="34"/>
      <c r="G181" s="34" t="s">
        <v>408</v>
      </c>
      <c r="H181" s="36">
        <v>7</v>
      </c>
      <c r="I181" s="37">
        <v>480</v>
      </c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8">
        <v>46087</v>
      </c>
      <c r="W181" s="38">
        <v>46202</v>
      </c>
      <c r="X181" s="34" t="s">
        <v>363</v>
      </c>
      <c r="Y181" s="39"/>
      <c r="Z181" s="39"/>
      <c r="AA181" s="40"/>
      <c r="AB181" s="40"/>
      <c r="AC181" s="40"/>
      <c r="AD181" s="40"/>
      <c r="AE181" s="40"/>
      <c r="AF181" s="40"/>
      <c r="AG181" s="40"/>
      <c r="AH181" s="40"/>
      <c r="AI181" s="34"/>
      <c r="AJ181" s="34"/>
      <c r="AK181" s="34"/>
      <c r="AL181" s="34"/>
      <c r="AM181" s="34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1"/>
      <c r="CA181" s="35"/>
      <c r="CB181" s="35"/>
      <c r="CC181" s="35"/>
      <c r="CD181" s="35"/>
      <c r="CE181" s="35"/>
      <c r="CF181" s="34"/>
      <c r="CG181" s="34"/>
      <c r="CH181" s="34"/>
      <c r="CI181" s="34"/>
      <c r="CJ181" s="34"/>
      <c r="CK181" s="34"/>
      <c r="CL181" s="34"/>
    </row>
    <row r="182" spans="1:127" s="18" customFormat="1" ht="18">
      <c r="A182" s="112" t="s">
        <v>325</v>
      </c>
      <c r="B182" s="113"/>
      <c r="C182" s="112"/>
      <c r="D182" s="113"/>
      <c r="E182" s="113"/>
      <c r="F182" s="112"/>
      <c r="G182" s="112"/>
      <c r="H182" s="114">
        <f>SUM(H160:H181)</f>
        <v>249.5</v>
      </c>
      <c r="I182" s="115">
        <f>SUM(I160:I181)</f>
        <v>15120</v>
      </c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6"/>
      <c r="W182" s="116"/>
      <c r="X182" s="112"/>
      <c r="Y182" s="117"/>
      <c r="Z182" s="117"/>
      <c r="AA182" s="40"/>
      <c r="AB182" s="40"/>
      <c r="AC182" s="40"/>
      <c r="AD182" s="40"/>
      <c r="AE182" s="40"/>
      <c r="AF182" s="40"/>
      <c r="AG182" s="40"/>
      <c r="AH182" s="40"/>
      <c r="AI182" s="34"/>
      <c r="AJ182" s="34"/>
      <c r="AK182" s="34"/>
      <c r="AL182" s="34"/>
      <c r="AM182" s="34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1"/>
      <c r="CA182" s="35"/>
      <c r="CB182" s="35"/>
      <c r="CC182" s="35"/>
      <c r="CD182" s="35"/>
      <c r="CE182" s="35"/>
      <c r="CF182" s="34"/>
      <c r="CG182" s="34"/>
      <c r="CH182" s="34"/>
      <c r="CI182" s="34"/>
      <c r="CJ182" s="34"/>
      <c r="CK182" s="34"/>
      <c r="CL182" s="67"/>
    </row>
    <row r="183" spans="1:127" s="18" customFormat="1" ht="15.6">
      <c r="A183" s="45" t="s">
        <v>326</v>
      </c>
      <c r="B183" s="45" t="s">
        <v>327</v>
      </c>
      <c r="C183" s="46">
        <v>6207508</v>
      </c>
      <c r="D183" s="45" t="s">
        <v>328</v>
      </c>
      <c r="E183" s="45" t="s">
        <v>329</v>
      </c>
      <c r="F183" s="45"/>
      <c r="G183" s="45">
        <v>80</v>
      </c>
      <c r="H183" s="45">
        <f>+I183/G183</f>
        <v>40</v>
      </c>
      <c r="I183" s="47">
        <v>3200</v>
      </c>
      <c r="J183" s="48" t="s">
        <v>330</v>
      </c>
      <c r="K183" s="45"/>
      <c r="L183" s="45"/>
      <c r="M183" s="45" t="s">
        <v>331</v>
      </c>
      <c r="N183" s="45"/>
      <c r="O183" s="45" t="s">
        <v>332</v>
      </c>
      <c r="P183" s="45"/>
      <c r="Q183" s="48" t="s">
        <v>333</v>
      </c>
      <c r="R183" s="48" t="s">
        <v>334</v>
      </c>
      <c r="S183" s="48" t="s">
        <v>95</v>
      </c>
      <c r="T183" s="48" t="s">
        <v>335</v>
      </c>
      <c r="U183" s="45" t="s">
        <v>336</v>
      </c>
      <c r="V183" s="49" t="s">
        <v>337</v>
      </c>
      <c r="W183" s="50" t="s">
        <v>338</v>
      </c>
      <c r="X183" s="51" t="s">
        <v>102</v>
      </c>
      <c r="Y183" s="52">
        <v>16500</v>
      </c>
      <c r="Z183" s="53"/>
      <c r="AA183" s="54"/>
      <c r="AB183" s="55"/>
      <c r="AC183" s="55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5"/>
      <c r="AR183" s="56">
        <v>30</v>
      </c>
      <c r="AS183" s="56">
        <v>30</v>
      </c>
      <c r="AT183" s="56">
        <v>60</v>
      </c>
      <c r="AU183" s="56">
        <v>90</v>
      </c>
      <c r="AV183" s="56">
        <v>120</v>
      </c>
      <c r="AW183" s="56">
        <v>120</v>
      </c>
      <c r="AX183" s="56">
        <v>150</v>
      </c>
      <c r="AY183" s="56">
        <v>150</v>
      </c>
      <c r="AZ183" s="56">
        <v>180</v>
      </c>
      <c r="BA183" s="56">
        <v>180</v>
      </c>
      <c r="BB183" s="56">
        <v>180</v>
      </c>
      <c r="BC183" s="56">
        <v>180</v>
      </c>
      <c r="BD183" s="56">
        <v>180</v>
      </c>
      <c r="BE183" s="56">
        <v>180</v>
      </c>
      <c r="BF183" s="56">
        <v>180</v>
      </c>
      <c r="BG183" s="56">
        <v>180</v>
      </c>
      <c r="BH183" s="56">
        <v>180</v>
      </c>
      <c r="BI183" s="56">
        <v>180</v>
      </c>
      <c r="BJ183" s="56">
        <v>180</v>
      </c>
      <c r="BK183" s="56">
        <v>180</v>
      </c>
      <c r="BL183" s="56">
        <v>180</v>
      </c>
      <c r="BM183" s="56">
        <v>150</v>
      </c>
      <c r="BN183" s="56">
        <v>150</v>
      </c>
      <c r="BO183" s="56">
        <v>150</v>
      </c>
      <c r="BP183" s="56">
        <v>150</v>
      </c>
      <c r="BQ183" s="56">
        <v>150</v>
      </c>
      <c r="BR183" s="56">
        <v>150</v>
      </c>
      <c r="BS183" s="56">
        <v>120</v>
      </c>
      <c r="BT183" s="56">
        <v>120</v>
      </c>
      <c r="BU183" s="56">
        <v>120</v>
      </c>
      <c r="BV183" s="56">
        <v>120</v>
      </c>
      <c r="BW183" s="56">
        <v>120</v>
      </c>
      <c r="BX183" s="56">
        <v>120</v>
      </c>
      <c r="BY183" s="56">
        <v>120</v>
      </c>
      <c r="BZ183" s="56">
        <v>120</v>
      </c>
      <c r="CA183" s="57">
        <v>90</v>
      </c>
      <c r="CB183" s="57">
        <v>90</v>
      </c>
      <c r="CC183" s="57">
        <v>90</v>
      </c>
      <c r="CD183" s="58">
        <v>90</v>
      </c>
      <c r="CE183" s="58">
        <v>90</v>
      </c>
      <c r="CF183" s="58">
        <v>60</v>
      </c>
      <c r="CG183" s="58">
        <v>60</v>
      </c>
      <c r="CH183" s="59">
        <v>60</v>
      </c>
      <c r="CI183" s="59">
        <v>30</v>
      </c>
      <c r="CJ183" s="51"/>
      <c r="CK183" s="51"/>
      <c r="CL183" s="65"/>
    </row>
    <row r="184" spans="1:127" s="18" customFormat="1" ht="15.6">
      <c r="A184" s="45" t="s">
        <v>326</v>
      </c>
      <c r="B184" s="45" t="s">
        <v>327</v>
      </c>
      <c r="C184" s="46"/>
      <c r="D184" s="45" t="s">
        <v>315</v>
      </c>
      <c r="E184" s="45" t="s">
        <v>400</v>
      </c>
      <c r="F184" s="45"/>
      <c r="G184" s="45">
        <v>70</v>
      </c>
      <c r="H184" s="45">
        <f t="shared" ref="H184:H186" si="10">+I184/G184</f>
        <v>17.5</v>
      </c>
      <c r="I184" s="47">
        <v>1225</v>
      </c>
      <c r="J184" s="48"/>
      <c r="K184" s="45"/>
      <c r="L184" s="45"/>
      <c r="M184" s="45"/>
      <c r="N184" s="45"/>
      <c r="O184" s="45"/>
      <c r="P184" s="45"/>
      <c r="Q184" s="48"/>
      <c r="R184" s="48"/>
      <c r="S184" s="48"/>
      <c r="T184" s="48"/>
      <c r="U184" s="45"/>
      <c r="V184" s="49"/>
      <c r="W184" s="50" t="s">
        <v>338</v>
      </c>
      <c r="X184" s="51" t="s">
        <v>101</v>
      </c>
      <c r="Y184" s="52">
        <v>3000</v>
      </c>
      <c r="Z184" s="53"/>
      <c r="AA184" s="54"/>
      <c r="AB184" s="55"/>
      <c r="AC184" s="55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5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7"/>
      <c r="CB184" s="57"/>
      <c r="CC184" s="57"/>
      <c r="CD184" s="58"/>
      <c r="CE184" s="58"/>
      <c r="CF184" s="58"/>
      <c r="CG184" s="58"/>
      <c r="CH184" s="59"/>
      <c r="CI184" s="59"/>
      <c r="CJ184" s="51"/>
      <c r="CK184" s="51"/>
      <c r="CL184" s="65"/>
    </row>
    <row r="185" spans="1:127" s="68" customFormat="1">
      <c r="A185" s="45" t="s">
        <v>326</v>
      </c>
      <c r="B185" s="45" t="s">
        <v>327</v>
      </c>
      <c r="C185" s="45">
        <v>6207508</v>
      </c>
      <c r="D185" s="45" t="s">
        <v>328</v>
      </c>
      <c r="E185" s="45" t="s">
        <v>329</v>
      </c>
      <c r="F185" s="45"/>
      <c r="G185" s="45">
        <v>80</v>
      </c>
      <c r="H185" s="45">
        <f t="shared" si="10"/>
        <v>12.5</v>
      </c>
      <c r="I185" s="47">
        <v>1000</v>
      </c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 t="s">
        <v>103</v>
      </c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</row>
    <row r="186" spans="1:127" s="18" customFormat="1">
      <c r="A186" s="45" t="s">
        <v>339</v>
      </c>
      <c r="B186" s="45" t="s">
        <v>327</v>
      </c>
      <c r="C186" s="46">
        <v>6207508</v>
      </c>
      <c r="D186" s="45" t="s">
        <v>328</v>
      </c>
      <c r="E186" s="45" t="s">
        <v>329</v>
      </c>
      <c r="F186" s="45"/>
      <c r="G186" s="45">
        <v>75</v>
      </c>
      <c r="H186" s="45">
        <f t="shared" si="10"/>
        <v>18</v>
      </c>
      <c r="I186" s="47">
        <v>1350</v>
      </c>
      <c r="J186" s="48" t="s">
        <v>330</v>
      </c>
      <c r="K186" s="45"/>
      <c r="L186" s="45"/>
      <c r="M186" s="45" t="s">
        <v>331</v>
      </c>
      <c r="N186" s="45"/>
      <c r="O186" s="45" t="s">
        <v>340</v>
      </c>
      <c r="P186" s="45"/>
      <c r="Q186" s="48" t="s">
        <v>333</v>
      </c>
      <c r="R186" s="45" t="s">
        <v>334</v>
      </c>
      <c r="S186" s="48" t="s">
        <v>95</v>
      </c>
      <c r="T186" s="48" t="s">
        <v>335</v>
      </c>
      <c r="U186" s="45" t="s">
        <v>341</v>
      </c>
      <c r="V186" s="49" t="s">
        <v>342</v>
      </c>
      <c r="W186" s="50" t="s">
        <v>343</v>
      </c>
      <c r="X186" s="51" t="s">
        <v>102</v>
      </c>
      <c r="Y186" s="52" t="s">
        <v>298</v>
      </c>
      <c r="Z186" s="53"/>
      <c r="AA186" s="60"/>
      <c r="AB186" s="51"/>
      <c r="AC186" s="51"/>
      <c r="AD186" s="5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>
        <v>100</v>
      </c>
      <c r="BO186" s="58">
        <v>100</v>
      </c>
      <c r="BP186" s="58">
        <v>100</v>
      </c>
      <c r="BQ186" s="58">
        <v>100</v>
      </c>
      <c r="BR186" s="58">
        <v>100</v>
      </c>
      <c r="BS186" s="58">
        <v>100</v>
      </c>
      <c r="BT186" s="58">
        <v>100</v>
      </c>
      <c r="BU186" s="58">
        <v>100</v>
      </c>
      <c r="BV186" s="58">
        <v>100</v>
      </c>
      <c r="BW186" s="58">
        <v>100</v>
      </c>
      <c r="BX186" s="58">
        <v>100</v>
      </c>
      <c r="BY186" s="58">
        <v>100</v>
      </c>
      <c r="BZ186" s="58">
        <v>100</v>
      </c>
      <c r="CA186" s="58">
        <v>100</v>
      </c>
      <c r="CB186" s="58"/>
      <c r="CC186" s="58"/>
      <c r="CD186" s="58"/>
      <c r="CE186" s="58"/>
      <c r="CF186" s="58"/>
      <c r="CG186" s="51"/>
      <c r="CH186" s="51"/>
      <c r="CI186" s="51"/>
      <c r="CJ186" s="51"/>
      <c r="CK186" s="51"/>
      <c r="CL186" s="51"/>
    </row>
    <row r="187" spans="1:127" s="18" customFormat="1">
      <c r="A187" s="45" t="s">
        <v>339</v>
      </c>
      <c r="B187" s="45" t="s">
        <v>344</v>
      </c>
      <c r="C187" s="46">
        <v>6237178</v>
      </c>
      <c r="D187" s="45" t="s">
        <v>328</v>
      </c>
      <c r="E187" s="45" t="s">
        <v>345</v>
      </c>
      <c r="F187" s="45"/>
      <c r="G187" s="45">
        <v>80</v>
      </c>
      <c r="H187" s="45">
        <v>10</v>
      </c>
      <c r="I187" s="47">
        <f t="shared" ref="I187" si="11">+H187*G187</f>
        <v>800</v>
      </c>
      <c r="J187" s="62" t="s">
        <v>330</v>
      </c>
      <c r="K187" s="45"/>
      <c r="L187" s="45"/>
      <c r="M187" s="45" t="s">
        <v>331</v>
      </c>
      <c r="N187" s="45"/>
      <c r="O187" s="45" t="s">
        <v>332</v>
      </c>
      <c r="P187" s="45"/>
      <c r="Q187" s="48" t="s">
        <v>333</v>
      </c>
      <c r="R187" s="45" t="s">
        <v>334</v>
      </c>
      <c r="S187" s="48" t="s">
        <v>95</v>
      </c>
      <c r="T187" s="48" t="s">
        <v>335</v>
      </c>
      <c r="U187" s="45" t="s">
        <v>346</v>
      </c>
      <c r="V187" s="49" t="s">
        <v>347</v>
      </c>
      <c r="W187" s="50" t="s">
        <v>348</v>
      </c>
      <c r="X187" s="51" t="s">
        <v>399</v>
      </c>
      <c r="Y187" s="52">
        <v>3000</v>
      </c>
      <c r="Z187" s="53"/>
      <c r="AA187" s="61"/>
      <c r="AB187" s="51"/>
      <c r="AC187" s="51"/>
      <c r="AD187" s="51"/>
      <c r="AE187" s="58"/>
      <c r="AF187" s="58"/>
      <c r="AG187" s="58"/>
      <c r="AH187" s="58"/>
      <c r="AI187" s="63"/>
      <c r="AJ187" s="58"/>
      <c r="AK187" s="58"/>
      <c r="AL187" s="63"/>
      <c r="AM187" s="58"/>
      <c r="AN187" s="58"/>
      <c r="AO187" s="63"/>
      <c r="AP187" s="58"/>
      <c r="AQ187" s="58"/>
      <c r="AR187" s="63"/>
      <c r="AS187" s="63"/>
      <c r="AT187" s="63"/>
      <c r="AU187" s="58"/>
      <c r="AV187" s="58">
        <v>60</v>
      </c>
      <c r="AW187" s="58">
        <v>90</v>
      </c>
      <c r="AX187" s="63">
        <v>90</v>
      </c>
      <c r="AY187" s="58">
        <v>90</v>
      </c>
      <c r="AZ187" s="58">
        <v>90</v>
      </c>
      <c r="BA187" s="63">
        <v>90</v>
      </c>
      <c r="BB187" s="58">
        <v>90</v>
      </c>
      <c r="BC187" s="58">
        <v>90</v>
      </c>
      <c r="BD187" s="63">
        <v>90</v>
      </c>
      <c r="BE187" s="58">
        <v>90</v>
      </c>
      <c r="BF187" s="58">
        <v>60</v>
      </c>
      <c r="BG187" s="63">
        <v>30</v>
      </c>
      <c r="BH187" s="63"/>
      <c r="BI187" s="63"/>
      <c r="BJ187" s="58"/>
      <c r="BK187" s="58"/>
      <c r="BL187" s="61"/>
      <c r="BM187" s="61"/>
      <c r="BN187" s="61"/>
      <c r="BO187" s="61"/>
      <c r="BP187" s="61"/>
      <c r="BQ187" s="61"/>
      <c r="BR187" s="61"/>
      <c r="BS187" s="61"/>
      <c r="BT187" s="61"/>
      <c r="BU187" s="57"/>
      <c r="BV187" s="57"/>
      <c r="BW187" s="57"/>
      <c r="BX187" s="57"/>
      <c r="BY187" s="57"/>
      <c r="BZ187" s="57"/>
      <c r="CA187" s="57"/>
      <c r="CB187" s="57"/>
      <c r="CC187" s="64"/>
      <c r="CD187" s="58"/>
      <c r="CE187" s="58"/>
      <c r="CF187" s="58"/>
      <c r="CG187" s="51"/>
      <c r="CH187" s="51"/>
      <c r="CI187" s="51"/>
      <c r="CJ187" s="51"/>
      <c r="CK187" s="51"/>
      <c r="CL187" s="51"/>
    </row>
    <row r="188" spans="1:127" s="18" customFormat="1">
      <c r="A188" s="45" t="s">
        <v>339</v>
      </c>
      <c r="B188" s="45" t="s">
        <v>349</v>
      </c>
      <c r="C188" s="46">
        <v>6133962</v>
      </c>
      <c r="D188" s="45" t="s">
        <v>328</v>
      </c>
      <c r="E188" s="45" t="s">
        <v>345</v>
      </c>
      <c r="F188" s="45"/>
      <c r="G188" s="45">
        <v>75</v>
      </c>
      <c r="H188" s="45">
        <v>6</v>
      </c>
      <c r="I188" s="47">
        <f t="shared" ref="I188" si="12">+H188*G188</f>
        <v>450</v>
      </c>
      <c r="J188" s="62" t="s">
        <v>330</v>
      </c>
      <c r="K188" s="45"/>
      <c r="L188" s="45"/>
      <c r="M188" s="45" t="s">
        <v>331</v>
      </c>
      <c r="N188" s="45"/>
      <c r="O188" s="45" t="s">
        <v>332</v>
      </c>
      <c r="P188" s="45"/>
      <c r="Q188" s="48" t="s">
        <v>333</v>
      </c>
      <c r="R188" s="45" t="s">
        <v>334</v>
      </c>
      <c r="S188" s="48" t="s">
        <v>95</v>
      </c>
      <c r="T188" s="48" t="s">
        <v>335</v>
      </c>
      <c r="U188" s="45" t="s">
        <v>297</v>
      </c>
      <c r="V188" s="49" t="s">
        <v>350</v>
      </c>
      <c r="W188" s="50" t="s">
        <v>351</v>
      </c>
      <c r="X188" s="51" t="s">
        <v>102</v>
      </c>
      <c r="Y188" s="52">
        <v>2000</v>
      </c>
      <c r="Z188" s="53"/>
      <c r="AA188" s="61"/>
      <c r="AB188" s="51"/>
      <c r="AC188" s="51"/>
      <c r="AD188" s="51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>
        <v>30</v>
      </c>
      <c r="AZ188" s="58">
        <v>30</v>
      </c>
      <c r="BA188" s="58">
        <v>60</v>
      </c>
      <c r="BB188" s="58">
        <v>120</v>
      </c>
      <c r="BC188" s="58">
        <v>90</v>
      </c>
      <c r="BD188" s="58">
        <v>60</v>
      </c>
      <c r="BE188" s="58">
        <v>60</v>
      </c>
      <c r="BF188" s="58">
        <v>30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7"/>
      <c r="BZ188" s="57"/>
      <c r="CA188" s="57"/>
      <c r="CB188" s="57"/>
      <c r="CC188" s="64"/>
      <c r="CD188" s="58"/>
      <c r="CE188" s="58"/>
      <c r="CF188" s="58"/>
      <c r="CG188" s="51"/>
      <c r="CH188" s="51"/>
      <c r="CI188" s="51"/>
      <c r="CJ188" s="51"/>
      <c r="CK188" s="51"/>
      <c r="CL188" s="51"/>
    </row>
    <row r="189" spans="1:127" s="18" customFormat="1">
      <c r="A189" s="45" t="s">
        <v>339</v>
      </c>
      <c r="B189" s="45" t="s">
        <v>352</v>
      </c>
      <c r="C189" s="46"/>
      <c r="D189" s="45" t="s">
        <v>328</v>
      </c>
      <c r="E189" s="45" t="s">
        <v>353</v>
      </c>
      <c r="F189" s="45"/>
      <c r="G189" s="45">
        <v>100</v>
      </c>
      <c r="H189" s="45">
        <f>+I189/G189</f>
        <v>40</v>
      </c>
      <c r="I189" s="47">
        <v>4000</v>
      </c>
      <c r="J189" s="62" t="s">
        <v>330</v>
      </c>
      <c r="K189" s="45"/>
      <c r="L189" s="45"/>
      <c r="M189" s="45" t="s">
        <v>331</v>
      </c>
      <c r="N189" s="45"/>
      <c r="O189" s="45" t="s">
        <v>332</v>
      </c>
      <c r="P189" s="45"/>
      <c r="Q189" s="48" t="s">
        <v>333</v>
      </c>
      <c r="R189" s="45" t="s">
        <v>334</v>
      </c>
      <c r="S189" s="48" t="s">
        <v>95</v>
      </c>
      <c r="T189" s="48" t="s">
        <v>335</v>
      </c>
      <c r="U189" s="45" t="s">
        <v>346</v>
      </c>
      <c r="V189" s="49" t="s">
        <v>354</v>
      </c>
      <c r="W189" s="50" t="s">
        <v>355</v>
      </c>
      <c r="X189" s="51" t="s">
        <v>102</v>
      </c>
      <c r="Y189" s="52">
        <v>10000</v>
      </c>
      <c r="Z189" s="53"/>
      <c r="AA189" s="61"/>
      <c r="AB189" s="51"/>
      <c r="AC189" s="51"/>
      <c r="AD189" s="51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>
        <v>30</v>
      </c>
      <c r="AO189" s="58">
        <v>30</v>
      </c>
      <c r="AP189" s="58">
        <v>90</v>
      </c>
      <c r="AQ189" s="58">
        <v>90</v>
      </c>
      <c r="AR189" s="58">
        <v>90</v>
      </c>
      <c r="AS189" s="58">
        <v>120</v>
      </c>
      <c r="AT189" s="58">
        <v>120</v>
      </c>
      <c r="AU189" s="58">
        <v>150</v>
      </c>
      <c r="AV189" s="58">
        <v>150</v>
      </c>
      <c r="AW189" s="58">
        <v>150</v>
      </c>
      <c r="AX189" s="58">
        <v>180</v>
      </c>
      <c r="AY189" s="58">
        <v>180</v>
      </c>
      <c r="AZ189" s="58">
        <v>180</v>
      </c>
      <c r="BA189" s="58">
        <v>180</v>
      </c>
      <c r="BB189" s="58">
        <v>180</v>
      </c>
      <c r="BC189" s="58">
        <v>180</v>
      </c>
      <c r="BD189" s="58">
        <v>180</v>
      </c>
      <c r="BE189" s="58">
        <v>150</v>
      </c>
      <c r="BF189" s="58">
        <v>150</v>
      </c>
      <c r="BG189" s="58">
        <v>150</v>
      </c>
      <c r="BH189" s="58">
        <v>120</v>
      </c>
      <c r="BI189" s="58">
        <v>120</v>
      </c>
      <c r="BJ189" s="58">
        <v>120</v>
      </c>
      <c r="BK189" s="58">
        <v>120</v>
      </c>
      <c r="BL189" s="58">
        <v>90</v>
      </c>
      <c r="BM189" s="58">
        <v>90</v>
      </c>
      <c r="BN189" s="58">
        <v>90</v>
      </c>
      <c r="BO189" s="58">
        <v>90</v>
      </c>
      <c r="BP189" s="58">
        <v>90</v>
      </c>
      <c r="BQ189" s="58">
        <v>90</v>
      </c>
      <c r="BR189" s="58">
        <v>90</v>
      </c>
      <c r="BS189" s="58">
        <v>90</v>
      </c>
      <c r="BT189" s="58">
        <v>60</v>
      </c>
      <c r="BU189" s="58">
        <v>60</v>
      </c>
      <c r="BV189" s="58">
        <v>60</v>
      </c>
      <c r="BW189" s="58">
        <v>60</v>
      </c>
      <c r="BX189" s="58">
        <v>60</v>
      </c>
      <c r="BY189" s="58">
        <v>90</v>
      </c>
      <c r="BZ189" s="58">
        <v>90</v>
      </c>
      <c r="CA189" s="58">
        <v>120</v>
      </c>
      <c r="CB189" s="58">
        <v>120</v>
      </c>
      <c r="CC189" s="58">
        <v>150</v>
      </c>
      <c r="CD189" s="58">
        <v>150</v>
      </c>
      <c r="CE189" s="58">
        <v>150</v>
      </c>
      <c r="CF189" s="58">
        <v>90</v>
      </c>
      <c r="CG189" s="58">
        <v>60</v>
      </c>
      <c r="CH189" s="58">
        <v>60</v>
      </c>
      <c r="CI189" s="58">
        <v>30</v>
      </c>
      <c r="CJ189" s="58">
        <v>30</v>
      </c>
      <c r="CK189" s="58"/>
      <c r="CL189" s="58"/>
      <c r="CM189" s="66"/>
    </row>
    <row r="190" spans="1:127" s="18" customFormat="1">
      <c r="A190" s="45" t="s">
        <v>339</v>
      </c>
      <c r="B190" s="45" t="s">
        <v>352</v>
      </c>
      <c r="C190" s="46"/>
      <c r="D190" s="45" t="s">
        <v>328</v>
      </c>
      <c r="E190" s="45" t="s">
        <v>353</v>
      </c>
      <c r="F190" s="45"/>
      <c r="G190" s="45">
        <v>100</v>
      </c>
      <c r="H190" s="45">
        <f t="shared" ref="H190:H191" si="13">+I190/G190</f>
        <v>3.5</v>
      </c>
      <c r="I190" s="47">
        <v>350</v>
      </c>
      <c r="J190" s="62"/>
      <c r="K190" s="45"/>
      <c r="L190" s="45"/>
      <c r="M190" s="45"/>
      <c r="N190" s="45"/>
      <c r="O190" s="45"/>
      <c r="P190" s="45"/>
      <c r="Q190" s="48"/>
      <c r="R190" s="45"/>
      <c r="S190" s="48"/>
      <c r="T190" s="48"/>
      <c r="U190" s="45"/>
      <c r="V190" s="49"/>
      <c r="W190" s="50" t="s">
        <v>355</v>
      </c>
      <c r="X190" s="51" t="s">
        <v>399</v>
      </c>
      <c r="Y190" s="52"/>
      <c r="Z190" s="53"/>
      <c r="AA190" s="61"/>
      <c r="AB190" s="51"/>
      <c r="AC190" s="51"/>
      <c r="AD190" s="51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66"/>
    </row>
    <row r="191" spans="1:127" s="18" customFormat="1">
      <c r="A191" s="45" t="s">
        <v>339</v>
      </c>
      <c r="B191" s="45" t="s">
        <v>352</v>
      </c>
      <c r="C191" s="46"/>
      <c r="D191" s="45" t="s">
        <v>328</v>
      </c>
      <c r="E191" s="45" t="s">
        <v>353</v>
      </c>
      <c r="F191" s="45"/>
      <c r="G191" s="45">
        <v>100</v>
      </c>
      <c r="H191" s="45">
        <f t="shared" si="13"/>
        <v>10</v>
      </c>
      <c r="I191" s="47">
        <v>1000</v>
      </c>
      <c r="J191" s="62"/>
      <c r="K191" s="45"/>
      <c r="L191" s="45"/>
      <c r="M191" s="45"/>
      <c r="N191" s="45"/>
      <c r="O191" s="45"/>
      <c r="P191" s="45"/>
      <c r="Q191" s="48"/>
      <c r="R191" s="45"/>
      <c r="S191" s="48"/>
      <c r="T191" s="48"/>
      <c r="U191" s="45"/>
      <c r="V191" s="49"/>
      <c r="W191" s="50" t="s">
        <v>355</v>
      </c>
      <c r="X191" s="51" t="s">
        <v>103</v>
      </c>
      <c r="Y191" s="52">
        <v>5000</v>
      </c>
      <c r="Z191" s="53"/>
      <c r="AA191" s="61"/>
      <c r="AB191" s="51"/>
      <c r="AC191" s="51"/>
      <c r="AD191" s="51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66"/>
    </row>
    <row r="192" spans="1:127" s="18" customFormat="1">
      <c r="A192" s="45" t="s">
        <v>339</v>
      </c>
      <c r="B192" s="45" t="s">
        <v>397</v>
      </c>
      <c r="C192" s="46"/>
      <c r="D192" s="45" t="s">
        <v>357</v>
      </c>
      <c r="E192" s="45" t="s">
        <v>398</v>
      </c>
      <c r="F192" s="45"/>
      <c r="G192" s="45">
        <v>70</v>
      </c>
      <c r="H192" s="45">
        <v>12</v>
      </c>
      <c r="I192" s="47">
        <f>+H192*G192</f>
        <v>840</v>
      </c>
      <c r="J192" s="62"/>
      <c r="K192" s="45"/>
      <c r="L192" s="45"/>
      <c r="M192" s="45"/>
      <c r="N192" s="45"/>
      <c r="O192" s="45"/>
      <c r="P192" s="45"/>
      <c r="Q192" s="48"/>
      <c r="R192" s="45"/>
      <c r="S192" s="48"/>
      <c r="T192" s="48"/>
      <c r="U192" s="45"/>
      <c r="V192" s="49"/>
      <c r="W192" s="50"/>
      <c r="X192" s="51" t="s">
        <v>399</v>
      </c>
      <c r="Y192" s="52"/>
      <c r="Z192" s="53"/>
      <c r="AA192" s="61"/>
      <c r="AB192" s="51"/>
      <c r="AC192" s="51"/>
      <c r="AD192" s="51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  <c r="CJ192" s="58"/>
      <c r="CK192" s="58"/>
      <c r="CL192" s="58"/>
      <c r="CM192" s="66"/>
    </row>
    <row r="193" spans="1:96" s="18" customFormat="1">
      <c r="A193" s="45" t="s">
        <v>339</v>
      </c>
      <c r="B193" s="45" t="s">
        <v>397</v>
      </c>
      <c r="C193" s="46"/>
      <c r="D193" s="45" t="s">
        <v>357</v>
      </c>
      <c r="E193" s="45" t="s">
        <v>398</v>
      </c>
      <c r="F193" s="45"/>
      <c r="G193" s="45">
        <v>70</v>
      </c>
      <c r="H193" s="45">
        <v>13</v>
      </c>
      <c r="I193" s="47">
        <f t="shared" ref="I193:I195" si="14">+H193*G193</f>
        <v>910</v>
      </c>
      <c r="J193" s="62"/>
      <c r="K193" s="45"/>
      <c r="L193" s="45"/>
      <c r="M193" s="45"/>
      <c r="N193" s="45"/>
      <c r="O193" s="45"/>
      <c r="P193" s="45"/>
      <c r="Q193" s="48"/>
      <c r="R193" s="45"/>
      <c r="S193" s="48"/>
      <c r="T193" s="48"/>
      <c r="U193" s="45"/>
      <c r="V193" s="49"/>
      <c r="W193" s="50"/>
      <c r="X193" s="51" t="s">
        <v>102</v>
      </c>
      <c r="Y193" s="52"/>
      <c r="Z193" s="53"/>
      <c r="AA193" s="61"/>
      <c r="AB193" s="51"/>
      <c r="AC193" s="51"/>
      <c r="AD193" s="51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8"/>
      <c r="CM193" s="66"/>
    </row>
    <row r="194" spans="1:96" s="18" customFormat="1">
      <c r="A194" s="45" t="s">
        <v>339</v>
      </c>
      <c r="B194" s="45" t="s">
        <v>356</v>
      </c>
      <c r="C194" s="46"/>
      <c r="D194" s="45" t="s">
        <v>357</v>
      </c>
      <c r="E194" s="45" t="s">
        <v>358</v>
      </c>
      <c r="F194" s="45"/>
      <c r="G194" s="45">
        <v>100</v>
      </c>
      <c r="H194" s="45">
        <v>7</v>
      </c>
      <c r="I194" s="47">
        <f t="shared" si="14"/>
        <v>700</v>
      </c>
      <c r="J194" s="62"/>
      <c r="K194" s="45"/>
      <c r="L194" s="45"/>
      <c r="M194" s="45"/>
      <c r="N194" s="45"/>
      <c r="O194" s="45"/>
      <c r="P194" s="45"/>
      <c r="Q194" s="48"/>
      <c r="R194" s="45"/>
      <c r="S194" s="48"/>
      <c r="T194" s="48"/>
      <c r="U194" s="45"/>
      <c r="V194" s="49"/>
      <c r="W194" s="50" t="s">
        <v>360</v>
      </c>
      <c r="X194" s="51" t="s">
        <v>399</v>
      </c>
      <c r="Y194" s="52"/>
      <c r="Z194" s="53"/>
      <c r="AA194" s="61"/>
      <c r="AB194" s="51"/>
      <c r="AC194" s="51"/>
      <c r="AD194" s="51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66"/>
    </row>
    <row r="195" spans="1:96" s="18" customFormat="1">
      <c r="A195" s="45" t="s">
        <v>339</v>
      </c>
      <c r="B195" s="45" t="s">
        <v>356</v>
      </c>
      <c r="C195" s="46"/>
      <c r="D195" s="45" t="s">
        <v>357</v>
      </c>
      <c r="E195" s="45" t="s">
        <v>358</v>
      </c>
      <c r="F195" s="45"/>
      <c r="G195" s="45">
        <v>100</v>
      </c>
      <c r="H195" s="45">
        <v>8</v>
      </c>
      <c r="I195" s="47">
        <f t="shared" si="14"/>
        <v>800</v>
      </c>
      <c r="J195" s="48" t="s">
        <v>330</v>
      </c>
      <c r="K195" s="45"/>
      <c r="L195" s="45"/>
      <c r="M195" s="45" t="s">
        <v>331</v>
      </c>
      <c r="N195" s="45"/>
      <c r="O195" s="45" t="s">
        <v>332</v>
      </c>
      <c r="P195" s="45"/>
      <c r="Q195" s="48" t="s">
        <v>333</v>
      </c>
      <c r="R195" s="45" t="s">
        <v>334</v>
      </c>
      <c r="S195" s="48" t="s">
        <v>95</v>
      </c>
      <c r="T195" s="48" t="s">
        <v>335</v>
      </c>
      <c r="U195" s="45" t="s">
        <v>341</v>
      </c>
      <c r="V195" s="49" t="s">
        <v>359</v>
      </c>
      <c r="W195" s="50" t="s">
        <v>360</v>
      </c>
      <c r="X195" s="51" t="s">
        <v>102</v>
      </c>
      <c r="Y195" s="52"/>
      <c r="Z195" s="53"/>
      <c r="AA195" s="61"/>
      <c r="AB195" s="51"/>
      <c r="AC195" s="51"/>
      <c r="AD195" s="5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>
        <v>60</v>
      </c>
      <c r="CA195" s="58">
        <v>60</v>
      </c>
      <c r="CB195" s="58">
        <v>90</v>
      </c>
      <c r="CC195" s="58">
        <v>120</v>
      </c>
      <c r="CD195" s="58">
        <v>150</v>
      </c>
      <c r="CE195" s="58">
        <v>150</v>
      </c>
      <c r="CF195" s="58">
        <v>150</v>
      </c>
      <c r="CG195" s="58">
        <v>90</v>
      </c>
      <c r="CH195" s="58">
        <v>90</v>
      </c>
      <c r="CI195" s="58">
        <v>90</v>
      </c>
      <c r="CJ195" s="58">
        <v>60</v>
      </c>
      <c r="CK195" s="58">
        <v>30</v>
      </c>
      <c r="CL195" s="58">
        <v>30</v>
      </c>
      <c r="CM195" s="66"/>
    </row>
    <row r="196" spans="1:96" s="18" customFormat="1" ht="18">
      <c r="A196" s="118" t="s">
        <v>361</v>
      </c>
      <c r="B196" s="118"/>
      <c r="C196" s="119"/>
      <c r="D196" s="118"/>
      <c r="E196" s="118"/>
      <c r="F196" s="118"/>
      <c r="G196" s="118"/>
      <c r="H196" s="120">
        <f>SUM(H183:H195)</f>
        <v>197.5</v>
      </c>
      <c r="I196" s="121">
        <f>SUM(I183:I195)</f>
        <v>16625</v>
      </c>
      <c r="J196" s="122"/>
      <c r="K196" s="118"/>
      <c r="L196" s="118"/>
      <c r="M196" s="118"/>
      <c r="N196" s="118"/>
      <c r="O196" s="118"/>
      <c r="P196" s="118"/>
      <c r="Q196" s="122"/>
      <c r="R196" s="118"/>
      <c r="S196" s="122"/>
      <c r="T196" s="122"/>
      <c r="U196" s="118"/>
      <c r="V196" s="123"/>
      <c r="W196" s="124"/>
      <c r="X196" s="112"/>
      <c r="Y196" s="125"/>
      <c r="Z196" s="117"/>
      <c r="AA196" s="61"/>
      <c r="AB196" s="51"/>
      <c r="AC196" s="51"/>
      <c r="AD196" s="5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103"/>
      <c r="CE196" s="58"/>
      <c r="CF196" s="58"/>
      <c r="CG196" s="58"/>
      <c r="CH196" s="58"/>
      <c r="CI196" s="58"/>
      <c r="CJ196" s="58"/>
      <c r="CK196" s="58"/>
      <c r="CL196" s="58"/>
      <c r="CM196" s="66"/>
    </row>
    <row r="197" spans="1:96" ht="18">
      <c r="A197" s="70" t="s">
        <v>364</v>
      </c>
      <c r="B197" s="70" t="s">
        <v>365</v>
      </c>
      <c r="C197" s="71">
        <v>7908033</v>
      </c>
      <c r="D197" s="70" t="s">
        <v>366</v>
      </c>
      <c r="E197" s="70" t="s">
        <v>367</v>
      </c>
      <c r="F197" s="72"/>
      <c r="G197" s="70" t="s">
        <v>368</v>
      </c>
      <c r="H197" s="73">
        <v>7</v>
      </c>
      <c r="I197" s="74">
        <v>420</v>
      </c>
      <c r="J197" s="70" t="s">
        <v>330</v>
      </c>
      <c r="K197" s="72">
        <v>10</v>
      </c>
      <c r="L197" s="70" t="s">
        <v>369</v>
      </c>
      <c r="M197" s="70" t="s">
        <v>370</v>
      </c>
      <c r="N197" s="70" t="s">
        <v>371</v>
      </c>
      <c r="O197" s="70" t="s">
        <v>340</v>
      </c>
      <c r="P197" s="70"/>
      <c r="Q197" s="70" t="s">
        <v>333</v>
      </c>
      <c r="R197" s="70" t="s">
        <v>334</v>
      </c>
      <c r="S197" s="70"/>
      <c r="T197" s="70" t="s">
        <v>372</v>
      </c>
      <c r="U197" s="70" t="s">
        <v>373</v>
      </c>
      <c r="V197" s="75">
        <v>46117</v>
      </c>
      <c r="W197" s="75">
        <v>46228</v>
      </c>
      <c r="X197" s="76" t="s">
        <v>102</v>
      </c>
      <c r="Y197" s="77" t="s">
        <v>298</v>
      </c>
      <c r="Z197" s="76"/>
      <c r="AA197" s="76"/>
      <c r="AB197" s="1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>
        <v>30</v>
      </c>
      <c r="BO197" s="76">
        <v>60</v>
      </c>
      <c r="BP197" s="76">
        <v>60</v>
      </c>
      <c r="BQ197" s="76">
        <v>90</v>
      </c>
      <c r="BR197" s="76">
        <v>90</v>
      </c>
      <c r="BS197" s="76">
        <v>60</v>
      </c>
      <c r="BT197" s="76">
        <v>30</v>
      </c>
      <c r="BU197" s="78"/>
      <c r="BV197" s="78"/>
      <c r="BW197" s="78"/>
      <c r="BX197" s="78"/>
      <c r="BY197" s="78"/>
      <c r="BZ197" s="79"/>
      <c r="CA197" s="1"/>
      <c r="CB197" s="1"/>
      <c r="CC197" s="1"/>
      <c r="CD197" s="80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81"/>
    </row>
    <row r="198" spans="1:96" ht="18">
      <c r="A198" s="70" t="s">
        <v>364</v>
      </c>
      <c r="B198" s="70" t="s">
        <v>374</v>
      </c>
      <c r="C198" s="71">
        <v>2525468</v>
      </c>
      <c r="D198" s="70" t="s">
        <v>366</v>
      </c>
      <c r="E198" s="70" t="s">
        <v>375</v>
      </c>
      <c r="F198" s="72"/>
      <c r="G198" s="70" t="s">
        <v>368</v>
      </c>
      <c r="H198" s="73">
        <v>3.5</v>
      </c>
      <c r="I198" s="74">
        <v>245</v>
      </c>
      <c r="J198" s="70" t="s">
        <v>330</v>
      </c>
      <c r="K198" s="72">
        <v>5</v>
      </c>
      <c r="L198" s="70" t="s">
        <v>369</v>
      </c>
      <c r="M198" s="70" t="s">
        <v>370</v>
      </c>
      <c r="N198" s="70" t="s">
        <v>376</v>
      </c>
      <c r="O198" s="70" t="s">
        <v>377</v>
      </c>
      <c r="P198" s="70"/>
      <c r="Q198" s="70" t="s">
        <v>333</v>
      </c>
      <c r="R198" s="70" t="s">
        <v>334</v>
      </c>
      <c r="S198" s="70"/>
      <c r="T198" s="70" t="s">
        <v>372</v>
      </c>
      <c r="U198" s="70" t="s">
        <v>378</v>
      </c>
      <c r="V198" s="75">
        <v>46116</v>
      </c>
      <c r="W198" s="75">
        <v>46228</v>
      </c>
      <c r="X198" s="76" t="s">
        <v>102</v>
      </c>
      <c r="Y198" s="77"/>
      <c r="Z198" s="76"/>
      <c r="AA198" s="76"/>
      <c r="AB198" s="1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>
        <v>20</v>
      </c>
      <c r="BO198" s="76">
        <v>20</v>
      </c>
      <c r="BP198" s="76">
        <v>30</v>
      </c>
      <c r="BQ198" s="76">
        <v>30</v>
      </c>
      <c r="BR198" s="76">
        <v>30</v>
      </c>
      <c r="BS198" s="76">
        <v>30</v>
      </c>
      <c r="BT198" s="76">
        <v>30</v>
      </c>
      <c r="BU198" s="76">
        <v>30</v>
      </c>
      <c r="BV198" s="76">
        <v>25</v>
      </c>
      <c r="BW198" s="78"/>
      <c r="BX198" s="78"/>
      <c r="BY198" s="78"/>
      <c r="BZ198" s="79"/>
      <c r="CA198" s="1"/>
      <c r="CB198" s="1"/>
      <c r="CC198" s="1"/>
      <c r="CD198" s="80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</row>
    <row r="199" spans="1:96" ht="18">
      <c r="A199" s="70" t="s">
        <v>364</v>
      </c>
      <c r="B199" s="70" t="s">
        <v>374</v>
      </c>
      <c r="C199" s="71">
        <v>2525468</v>
      </c>
      <c r="D199" s="70" t="s">
        <v>366</v>
      </c>
      <c r="E199" s="70" t="s">
        <v>375</v>
      </c>
      <c r="F199" s="72"/>
      <c r="G199" s="70" t="s">
        <v>368</v>
      </c>
      <c r="H199" s="73">
        <v>3.5</v>
      </c>
      <c r="I199" s="74">
        <v>245</v>
      </c>
      <c r="J199" s="70"/>
      <c r="K199" s="72">
        <v>5</v>
      </c>
      <c r="L199" s="70" t="s">
        <v>369</v>
      </c>
      <c r="M199" s="70" t="s">
        <v>370</v>
      </c>
      <c r="N199" s="70" t="s">
        <v>376</v>
      </c>
      <c r="O199" s="70" t="s">
        <v>377</v>
      </c>
      <c r="P199" s="70"/>
      <c r="Q199" s="70"/>
      <c r="R199" s="70" t="s">
        <v>334</v>
      </c>
      <c r="S199" s="70"/>
      <c r="T199" s="70" t="s">
        <v>372</v>
      </c>
      <c r="U199" s="70" t="s">
        <v>378</v>
      </c>
      <c r="V199" s="75">
        <v>46117</v>
      </c>
      <c r="W199" s="75">
        <v>46229</v>
      </c>
      <c r="X199" s="76" t="s">
        <v>101</v>
      </c>
      <c r="Y199" s="77"/>
      <c r="Z199" s="76"/>
      <c r="AA199" s="76"/>
      <c r="AB199" s="1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>
        <v>20</v>
      </c>
      <c r="BP199" s="76">
        <v>20</v>
      </c>
      <c r="BQ199" s="76">
        <v>20</v>
      </c>
      <c r="BR199" s="76">
        <v>30</v>
      </c>
      <c r="BS199" s="76">
        <v>30</v>
      </c>
      <c r="BT199" s="76">
        <v>30</v>
      </c>
      <c r="BU199" s="76">
        <v>30</v>
      </c>
      <c r="BV199" s="76">
        <v>25</v>
      </c>
      <c r="BW199" s="76">
        <v>20</v>
      </c>
      <c r="BX199" s="76">
        <v>20</v>
      </c>
      <c r="BY199" s="78"/>
      <c r="BZ199" s="79"/>
      <c r="CA199" s="1"/>
      <c r="CB199" s="1"/>
      <c r="CC199" s="1"/>
      <c r="CD199" s="80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</row>
    <row r="200" spans="1:96" ht="18">
      <c r="A200" s="70" t="s">
        <v>364</v>
      </c>
      <c r="B200" s="70" t="s">
        <v>379</v>
      </c>
      <c r="C200" s="82" t="s">
        <v>380</v>
      </c>
      <c r="D200" s="70" t="s">
        <v>366</v>
      </c>
      <c r="E200" s="70" t="s">
        <v>381</v>
      </c>
      <c r="F200" s="72"/>
      <c r="G200" s="70" t="s">
        <v>368</v>
      </c>
      <c r="H200" s="73">
        <v>10</v>
      </c>
      <c r="I200" s="74">
        <v>600</v>
      </c>
      <c r="J200" s="70" t="s">
        <v>330</v>
      </c>
      <c r="K200" s="72">
        <v>20</v>
      </c>
      <c r="L200" s="70" t="s">
        <v>369</v>
      </c>
      <c r="M200" s="70" t="s">
        <v>370</v>
      </c>
      <c r="N200" s="70" t="s">
        <v>371</v>
      </c>
      <c r="O200" s="70" t="s">
        <v>377</v>
      </c>
      <c r="P200" s="70"/>
      <c r="Q200" s="70" t="s">
        <v>333</v>
      </c>
      <c r="R200" s="70" t="s">
        <v>334</v>
      </c>
      <c r="S200" s="70"/>
      <c r="T200" s="70" t="s">
        <v>372</v>
      </c>
      <c r="U200" s="70" t="s">
        <v>373</v>
      </c>
      <c r="V200" s="83">
        <v>46122</v>
      </c>
      <c r="W200" s="75">
        <v>46235</v>
      </c>
      <c r="X200" s="76" t="s">
        <v>102</v>
      </c>
      <c r="Y200" s="77"/>
      <c r="Z200" s="76"/>
      <c r="AA200" s="76"/>
      <c r="AB200" s="1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8"/>
      <c r="BS200" s="78"/>
      <c r="BT200" s="78"/>
      <c r="BU200" s="76">
        <v>30</v>
      </c>
      <c r="BV200" s="76">
        <v>60</v>
      </c>
      <c r="BW200" s="76">
        <v>60</v>
      </c>
      <c r="BX200" s="76">
        <v>60</v>
      </c>
      <c r="BY200" s="76">
        <v>60</v>
      </c>
      <c r="BZ200" s="76">
        <v>60</v>
      </c>
      <c r="CA200" s="76">
        <v>60</v>
      </c>
      <c r="CB200" s="78">
        <v>60</v>
      </c>
      <c r="CC200" s="78">
        <v>60</v>
      </c>
      <c r="CD200" s="78">
        <v>30</v>
      </c>
      <c r="CE200" s="78">
        <v>30</v>
      </c>
      <c r="CF200" s="78">
        <v>30</v>
      </c>
      <c r="CG200" s="78"/>
      <c r="CH200" s="78"/>
      <c r="CI200" s="1"/>
      <c r="CJ200" s="1"/>
      <c r="CK200" s="1"/>
      <c r="CL200" s="1"/>
      <c r="CM200" s="1"/>
      <c r="CN200" s="1"/>
      <c r="CO200" s="1"/>
      <c r="CP200" s="1"/>
      <c r="CQ200" s="1"/>
      <c r="CR200" s="1"/>
    </row>
    <row r="201" spans="1:96" ht="18">
      <c r="A201" s="70" t="s">
        <v>364</v>
      </c>
      <c r="B201" s="70" t="s">
        <v>382</v>
      </c>
      <c r="C201" s="82"/>
      <c r="D201" s="70" t="s">
        <v>366</v>
      </c>
      <c r="E201" s="70" t="s">
        <v>381</v>
      </c>
      <c r="F201" s="72"/>
      <c r="G201" s="70" t="s">
        <v>368</v>
      </c>
      <c r="H201" s="73">
        <v>16.5</v>
      </c>
      <c r="I201" s="74">
        <v>1000</v>
      </c>
      <c r="J201" s="70" t="s">
        <v>330</v>
      </c>
      <c r="K201" s="72">
        <v>37</v>
      </c>
      <c r="L201" s="70" t="s">
        <v>369</v>
      </c>
      <c r="M201" s="70" t="s">
        <v>370</v>
      </c>
      <c r="N201" s="70" t="s">
        <v>383</v>
      </c>
      <c r="O201" s="70" t="s">
        <v>377</v>
      </c>
      <c r="P201" s="70"/>
      <c r="Q201" s="70" t="s">
        <v>333</v>
      </c>
      <c r="R201" s="70" t="s">
        <v>334</v>
      </c>
      <c r="S201" s="70"/>
      <c r="T201" s="70" t="s">
        <v>372</v>
      </c>
      <c r="U201" s="70" t="s">
        <v>378</v>
      </c>
      <c r="V201" s="75">
        <v>46113</v>
      </c>
      <c r="W201" s="75">
        <v>46226</v>
      </c>
      <c r="X201" s="76" t="s">
        <v>102</v>
      </c>
      <c r="Y201" s="77"/>
      <c r="Z201" s="76"/>
      <c r="AA201" s="76"/>
      <c r="AB201" s="1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>
        <v>40</v>
      </c>
      <c r="BM201" s="76">
        <v>60</v>
      </c>
      <c r="BN201" s="76">
        <v>90</v>
      </c>
      <c r="BO201" s="76">
        <v>90</v>
      </c>
      <c r="BP201" s="76">
        <v>120</v>
      </c>
      <c r="BQ201" s="76">
        <v>120</v>
      </c>
      <c r="BR201" s="78">
        <v>180</v>
      </c>
      <c r="BS201" s="78">
        <v>180</v>
      </c>
      <c r="BT201" s="78">
        <v>180</v>
      </c>
      <c r="BU201" s="78">
        <v>180</v>
      </c>
      <c r="BV201" s="78">
        <v>150</v>
      </c>
      <c r="BW201" s="78">
        <v>120</v>
      </c>
      <c r="BX201" s="78">
        <v>90</v>
      </c>
      <c r="BY201" s="78">
        <v>90</v>
      </c>
      <c r="BZ201" s="79" t="s">
        <v>384</v>
      </c>
      <c r="CA201" s="78">
        <v>50</v>
      </c>
      <c r="CB201" s="78">
        <v>30</v>
      </c>
      <c r="CC201" s="78">
        <v>30</v>
      </c>
      <c r="CD201" s="80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</row>
    <row r="202" spans="1:96" ht="18">
      <c r="A202" s="70" t="s">
        <v>364</v>
      </c>
      <c r="B202" s="70" t="s">
        <v>382</v>
      </c>
      <c r="C202" s="82"/>
      <c r="D202" s="70" t="s">
        <v>366</v>
      </c>
      <c r="E202" s="70" t="s">
        <v>381</v>
      </c>
      <c r="F202" s="72"/>
      <c r="G202" s="70" t="s">
        <v>368</v>
      </c>
      <c r="H202" s="73">
        <v>26.5</v>
      </c>
      <c r="I202" s="74">
        <v>1600</v>
      </c>
      <c r="J202" s="70"/>
      <c r="K202" s="7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5">
        <v>46113</v>
      </c>
      <c r="W202" s="75">
        <v>46226</v>
      </c>
      <c r="X202" s="76" t="s">
        <v>101</v>
      </c>
      <c r="Y202" s="77">
        <v>5000</v>
      </c>
      <c r="Z202" s="76"/>
      <c r="AA202" s="76"/>
      <c r="AB202" s="1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8"/>
      <c r="BS202" s="78"/>
      <c r="BT202" s="78"/>
      <c r="BU202" s="78"/>
      <c r="BV202" s="78"/>
      <c r="BW202" s="78"/>
      <c r="BX202" s="78"/>
      <c r="BY202" s="78"/>
      <c r="BZ202" s="79"/>
      <c r="CA202" s="78"/>
      <c r="CB202" s="78"/>
      <c r="CC202" s="78"/>
      <c r="CD202" s="80"/>
      <c r="CE202" s="1"/>
      <c r="CF202" s="80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</row>
    <row r="203" spans="1:96" ht="18">
      <c r="A203" s="70" t="s">
        <v>364</v>
      </c>
      <c r="B203" s="70" t="s">
        <v>382</v>
      </c>
      <c r="C203" s="82"/>
      <c r="D203" s="70" t="s">
        <v>366</v>
      </c>
      <c r="E203" s="70" t="s">
        <v>381</v>
      </c>
      <c r="F203" s="72"/>
      <c r="G203" s="70" t="s">
        <v>368</v>
      </c>
      <c r="H203" s="73">
        <v>16.5</v>
      </c>
      <c r="I203" s="74">
        <v>1000</v>
      </c>
      <c r="J203" s="70" t="s">
        <v>330</v>
      </c>
      <c r="K203" s="72">
        <v>40</v>
      </c>
      <c r="L203" s="70" t="s">
        <v>369</v>
      </c>
      <c r="M203" s="70" t="s">
        <v>370</v>
      </c>
      <c r="N203" s="70" t="s">
        <v>383</v>
      </c>
      <c r="O203" s="70" t="s">
        <v>377</v>
      </c>
      <c r="P203" s="70"/>
      <c r="Q203" s="70" t="s">
        <v>333</v>
      </c>
      <c r="R203" s="70" t="s">
        <v>334</v>
      </c>
      <c r="S203" s="70"/>
      <c r="T203" s="70" t="s">
        <v>372</v>
      </c>
      <c r="U203" s="70" t="s">
        <v>378</v>
      </c>
      <c r="V203" s="75">
        <v>46114</v>
      </c>
      <c r="W203" s="75">
        <v>45862</v>
      </c>
      <c r="X203" s="76" t="s">
        <v>103</v>
      </c>
      <c r="Y203" s="77">
        <v>6000</v>
      </c>
      <c r="Z203" s="76"/>
      <c r="AA203" s="77"/>
      <c r="AB203" s="1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>
        <v>40</v>
      </c>
      <c r="BN203" s="76">
        <v>60</v>
      </c>
      <c r="BO203" s="76">
        <v>90</v>
      </c>
      <c r="BP203" s="76">
        <v>120</v>
      </c>
      <c r="BQ203" s="76">
        <v>120</v>
      </c>
      <c r="BR203" s="76">
        <v>150</v>
      </c>
      <c r="BS203" s="76">
        <v>180</v>
      </c>
      <c r="BT203" s="78">
        <v>180</v>
      </c>
      <c r="BU203" s="78">
        <v>150</v>
      </c>
      <c r="BV203" s="78">
        <v>150</v>
      </c>
      <c r="BW203" s="78">
        <v>120</v>
      </c>
      <c r="BX203" s="78">
        <v>120</v>
      </c>
      <c r="BY203" s="78">
        <v>100</v>
      </c>
      <c r="BZ203" s="78">
        <v>100</v>
      </c>
      <c r="CA203" s="78">
        <v>40</v>
      </c>
      <c r="CB203" s="79" t="s">
        <v>385</v>
      </c>
      <c r="CC203" s="78">
        <v>30</v>
      </c>
      <c r="CD203" s="78">
        <v>30</v>
      </c>
      <c r="CE203" s="78">
        <v>20</v>
      </c>
      <c r="CF203" s="80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</row>
    <row r="204" spans="1:96" ht="18">
      <c r="A204" s="70" t="s">
        <v>364</v>
      </c>
      <c r="B204" s="70" t="s">
        <v>386</v>
      </c>
      <c r="C204" s="82" t="s">
        <v>387</v>
      </c>
      <c r="D204" s="70" t="s">
        <v>366</v>
      </c>
      <c r="E204" s="70" t="s">
        <v>388</v>
      </c>
      <c r="F204" s="72"/>
      <c r="G204" s="70" t="s">
        <v>368</v>
      </c>
      <c r="H204" s="73">
        <v>15</v>
      </c>
      <c r="I204" s="74">
        <v>900</v>
      </c>
      <c r="J204" s="70" t="s">
        <v>330</v>
      </c>
      <c r="K204" s="72">
        <v>25</v>
      </c>
      <c r="L204" s="70" t="s">
        <v>369</v>
      </c>
      <c r="M204" s="70" t="s">
        <v>370</v>
      </c>
      <c r="N204" s="70" t="s">
        <v>371</v>
      </c>
      <c r="O204" s="70" t="s">
        <v>377</v>
      </c>
      <c r="P204" s="70"/>
      <c r="Q204" s="70" t="s">
        <v>333</v>
      </c>
      <c r="R204" s="70" t="s">
        <v>334</v>
      </c>
      <c r="S204" s="70"/>
      <c r="T204" s="70" t="s">
        <v>372</v>
      </c>
      <c r="U204" s="70" t="s">
        <v>389</v>
      </c>
      <c r="V204" s="75">
        <v>46096</v>
      </c>
      <c r="W204" s="75">
        <v>46223</v>
      </c>
      <c r="X204" s="76" t="s">
        <v>102</v>
      </c>
      <c r="Y204" s="77"/>
      <c r="Z204" s="76"/>
      <c r="AA204" s="76"/>
      <c r="AB204" s="1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>
        <v>30</v>
      </c>
      <c r="BJ204" s="76">
        <v>30</v>
      </c>
      <c r="BK204" s="76">
        <v>60</v>
      </c>
      <c r="BL204" s="76">
        <v>60</v>
      </c>
      <c r="BM204" s="76">
        <v>60</v>
      </c>
      <c r="BN204" s="76">
        <v>90</v>
      </c>
      <c r="BO204" s="76">
        <v>90</v>
      </c>
      <c r="BP204" s="76">
        <v>90</v>
      </c>
      <c r="BQ204" s="76">
        <v>60</v>
      </c>
      <c r="BR204" s="78">
        <v>60</v>
      </c>
      <c r="BS204" s="78">
        <v>60</v>
      </c>
      <c r="BT204" s="78">
        <v>60</v>
      </c>
      <c r="BU204" s="78">
        <v>60</v>
      </c>
      <c r="BV204" s="78">
        <v>60</v>
      </c>
      <c r="BW204" s="78">
        <v>30</v>
      </c>
      <c r="BX204" s="78"/>
      <c r="BY204" s="78"/>
      <c r="BZ204" s="79"/>
      <c r="CA204" s="1"/>
      <c r="CB204" s="1"/>
      <c r="CC204" s="78"/>
      <c r="CD204" s="80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</row>
    <row r="205" spans="1:96" ht="18">
      <c r="A205" s="70" t="s">
        <v>364</v>
      </c>
      <c r="B205" s="70" t="s">
        <v>390</v>
      </c>
      <c r="C205" s="82">
        <v>7443360</v>
      </c>
      <c r="D205" s="70" t="s">
        <v>366</v>
      </c>
      <c r="E205" s="70" t="s">
        <v>391</v>
      </c>
      <c r="F205" s="72"/>
      <c r="G205" s="70" t="s">
        <v>368</v>
      </c>
      <c r="H205" s="73">
        <v>4</v>
      </c>
      <c r="I205" s="74">
        <v>240</v>
      </c>
      <c r="J205" s="70" t="s">
        <v>330</v>
      </c>
      <c r="K205" s="72">
        <v>10</v>
      </c>
      <c r="L205" s="70" t="s">
        <v>369</v>
      </c>
      <c r="M205" s="70" t="s">
        <v>370</v>
      </c>
      <c r="N205" s="70" t="s">
        <v>371</v>
      </c>
      <c r="O205" s="70" t="s">
        <v>340</v>
      </c>
      <c r="P205" s="70"/>
      <c r="Q205" s="70" t="s">
        <v>333</v>
      </c>
      <c r="R205" s="70" t="s">
        <v>334</v>
      </c>
      <c r="S205" s="70"/>
      <c r="T205" s="70" t="s">
        <v>372</v>
      </c>
      <c r="U205" s="70" t="s">
        <v>373</v>
      </c>
      <c r="V205" s="75">
        <v>46127</v>
      </c>
      <c r="W205" s="75">
        <v>46238</v>
      </c>
      <c r="X205" s="76" t="s">
        <v>102</v>
      </c>
      <c r="Y205" s="77" t="s">
        <v>298</v>
      </c>
      <c r="Z205" s="76"/>
      <c r="AA205" s="76"/>
      <c r="AB205" s="1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>
        <v>30</v>
      </c>
      <c r="BN205" s="76">
        <v>60</v>
      </c>
      <c r="BO205" s="76">
        <v>60</v>
      </c>
      <c r="BP205" s="76">
        <v>60</v>
      </c>
      <c r="BQ205" s="76">
        <v>30</v>
      </c>
      <c r="BR205" s="78"/>
      <c r="BS205" s="78"/>
      <c r="BT205" s="78"/>
      <c r="BU205" s="78"/>
      <c r="BV205" s="78"/>
      <c r="BW205" s="78"/>
      <c r="BX205" s="78"/>
      <c r="BY205" s="78"/>
      <c r="BZ205" s="79"/>
      <c r="CA205" s="1"/>
      <c r="CB205" s="1"/>
      <c r="CC205" s="78"/>
      <c r="CD205" s="80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</row>
    <row r="206" spans="1:96" ht="18">
      <c r="A206" s="70" t="s">
        <v>364</v>
      </c>
      <c r="B206" s="84" t="s">
        <v>392</v>
      </c>
      <c r="C206" s="85"/>
      <c r="D206" s="84" t="s">
        <v>366</v>
      </c>
      <c r="E206" s="84" t="s">
        <v>393</v>
      </c>
      <c r="F206" s="84"/>
      <c r="G206" s="70" t="s">
        <v>368</v>
      </c>
      <c r="H206" s="86">
        <v>6</v>
      </c>
      <c r="I206" s="87">
        <f>H206*65</f>
        <v>390</v>
      </c>
      <c r="J206" s="70" t="s">
        <v>330</v>
      </c>
      <c r="K206" s="72">
        <v>10</v>
      </c>
      <c r="L206" s="70" t="s">
        <v>369</v>
      </c>
      <c r="M206" s="84" t="s">
        <v>370</v>
      </c>
      <c r="N206" s="84" t="s">
        <v>383</v>
      </c>
      <c r="O206" s="84" t="s">
        <v>377</v>
      </c>
      <c r="P206" s="84"/>
      <c r="Q206" s="84"/>
      <c r="R206" s="84"/>
      <c r="S206" s="84"/>
      <c r="T206" s="84"/>
      <c r="U206" s="84" t="s">
        <v>378</v>
      </c>
      <c r="V206" s="88">
        <v>46114</v>
      </c>
      <c r="W206" s="89">
        <v>46228</v>
      </c>
      <c r="X206" s="90" t="s">
        <v>102</v>
      </c>
      <c r="Y206" s="77"/>
      <c r="Z206" s="91"/>
      <c r="AA206" s="91"/>
      <c r="AB206" s="1"/>
      <c r="AC206" s="78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>
        <v>20</v>
      </c>
      <c r="BO206" s="76">
        <v>20</v>
      </c>
      <c r="BP206" s="76">
        <v>20</v>
      </c>
      <c r="BQ206" s="76">
        <v>40</v>
      </c>
      <c r="BR206" s="76">
        <v>40</v>
      </c>
      <c r="BS206" s="76">
        <v>40</v>
      </c>
      <c r="BT206" s="76">
        <v>40</v>
      </c>
      <c r="BU206" s="78">
        <v>40</v>
      </c>
      <c r="BV206" s="78">
        <v>40</v>
      </c>
      <c r="BW206" s="78">
        <v>40</v>
      </c>
      <c r="BX206" s="78">
        <v>30</v>
      </c>
      <c r="BY206" s="78">
        <v>20</v>
      </c>
      <c r="BZ206" s="78"/>
      <c r="CA206" s="78"/>
      <c r="CB206" s="78"/>
      <c r="CC206" s="78"/>
      <c r="CD206" s="80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</row>
    <row r="207" spans="1:96" ht="18">
      <c r="A207" s="70" t="s">
        <v>364</v>
      </c>
      <c r="B207" s="70" t="s">
        <v>394</v>
      </c>
      <c r="C207" s="82"/>
      <c r="D207" s="70" t="s">
        <v>366</v>
      </c>
      <c r="E207" s="70" t="s">
        <v>395</v>
      </c>
      <c r="F207" s="72"/>
      <c r="G207" s="70" t="s">
        <v>368</v>
      </c>
      <c r="H207" s="73">
        <v>5</v>
      </c>
      <c r="I207" s="74">
        <f>H207*65</f>
        <v>325</v>
      </c>
      <c r="J207" s="70" t="s">
        <v>330</v>
      </c>
      <c r="K207" s="72">
        <v>7</v>
      </c>
      <c r="L207" s="70" t="s">
        <v>369</v>
      </c>
      <c r="M207" s="70" t="s">
        <v>370</v>
      </c>
      <c r="N207" s="70" t="s">
        <v>383</v>
      </c>
      <c r="O207" s="70" t="s">
        <v>377</v>
      </c>
      <c r="P207" s="70"/>
      <c r="Q207" s="70" t="s">
        <v>333</v>
      </c>
      <c r="R207" s="70" t="s">
        <v>334</v>
      </c>
      <c r="S207" s="70"/>
      <c r="T207" s="70" t="s">
        <v>372</v>
      </c>
      <c r="U207" s="70" t="s">
        <v>378</v>
      </c>
      <c r="V207" s="75">
        <v>46120</v>
      </c>
      <c r="W207" s="75">
        <v>46235</v>
      </c>
      <c r="X207" s="76" t="s">
        <v>103</v>
      </c>
      <c r="Y207" s="77">
        <v>3000</v>
      </c>
      <c r="Z207" s="76"/>
      <c r="AA207" s="76"/>
      <c r="AB207" s="1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8"/>
      <c r="BS207" s="78"/>
      <c r="BT207" s="78"/>
      <c r="BU207" s="78">
        <v>20</v>
      </c>
      <c r="BV207" s="78">
        <v>30</v>
      </c>
      <c r="BW207" s="78">
        <v>40</v>
      </c>
      <c r="BX207" s="78">
        <v>60</v>
      </c>
      <c r="BY207" s="78">
        <v>60</v>
      </c>
      <c r="BZ207" s="79" t="s">
        <v>385</v>
      </c>
      <c r="CA207" s="1">
        <v>40</v>
      </c>
      <c r="CB207" s="1">
        <v>30</v>
      </c>
      <c r="CC207" s="78">
        <v>30</v>
      </c>
      <c r="CD207" s="80">
        <v>15</v>
      </c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</row>
    <row r="208" spans="1:96" ht="21">
      <c r="A208" s="126" t="s">
        <v>404</v>
      </c>
      <c r="B208" s="127"/>
      <c r="C208" s="127"/>
      <c r="D208" s="127"/>
      <c r="E208" s="127"/>
      <c r="F208" s="127"/>
      <c r="G208" s="127"/>
      <c r="H208" s="128">
        <f>SUM(H197:H207)</f>
        <v>113.5</v>
      </c>
      <c r="I208" s="128">
        <f>SUM(I197:I207)</f>
        <v>6965</v>
      </c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9"/>
      <c r="W208" s="127"/>
      <c r="X208" s="127"/>
      <c r="Y208" s="127"/>
      <c r="Z208" s="127"/>
    </row>
    <row r="209" spans="2:9" ht="18">
      <c r="B209" s="132" t="s">
        <v>406</v>
      </c>
      <c r="H209" s="130">
        <f>SUM(H208+H196+H182+H159+H77)</f>
        <v>1422.0285714285715</v>
      </c>
      <c r="I209" s="131">
        <f>SUM(I208+I196+I182+I159+I77)</f>
        <v>93687.5</v>
      </c>
    </row>
  </sheetData>
  <autoFilter ref="A1:CM207" xr:uid="{00000000-0009-0000-0000-000000000000}"/>
  <dataValidations disablePrompts="1" count="1">
    <dataValidation type="list" allowBlank="1" showErrorMessage="1" sqref="T206 S197:S207 P197:Q207 J197:J207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BAZINFO</dc:creator>
  <cp:lastModifiedBy>Monta yahia</cp:lastModifiedBy>
  <dcterms:created xsi:type="dcterms:W3CDTF">2015-06-05T18:19:34Z</dcterms:created>
  <dcterms:modified xsi:type="dcterms:W3CDTF">2026-05-29T14:55:33Z</dcterms:modified>
</cp:coreProperties>
</file>